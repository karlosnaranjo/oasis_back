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asis\oasis_back\database\migrations\"/>
    </mc:Choice>
  </mc:AlternateContent>
  <xr:revisionPtr revIDLastSave="0" documentId="13_ncr:1_{6D846776-9623-4205-9CAC-642AD7DBDD33}" xr6:coauthVersionLast="47" xr6:coauthVersionMax="47" xr10:uidLastSave="{00000000-0000-0000-0000-000000000000}"/>
  <bookViews>
    <workbookView xWindow="-120" yWindow="-120" windowWidth="38640" windowHeight="15840" tabRatio="766" xr2:uid="{60FE5447-0D58-4696-A4FE-12D23243D318}"/>
  </bookViews>
  <sheets>
    <sheet name="Migration Commands" sheetId="15" r:id="rId1"/>
    <sheet name="Tables" sheetId="3" r:id="rId2"/>
    <sheet name="Fields" sheetId="4" r:id="rId3"/>
    <sheet name="Attributes" sheetId="2" r:id="rId4"/>
    <sheet name="Lists" sheetId="1" r:id="rId5"/>
    <sheet name="Sheet1" sheetId="16" r:id="rId6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1" i="4" l="1"/>
  <c r="G111" i="4"/>
  <c r="E112" i="4"/>
  <c r="G112" i="4"/>
  <c r="E113" i="4"/>
  <c r="G113" i="4"/>
  <c r="E103" i="4"/>
  <c r="G103" i="4"/>
  <c r="E104" i="4"/>
  <c r="G104" i="4"/>
  <c r="E105" i="4"/>
  <c r="G105" i="4"/>
  <c r="E106" i="4"/>
  <c r="G106" i="4"/>
  <c r="E107" i="4"/>
  <c r="G107" i="4"/>
  <c r="E108" i="4"/>
  <c r="G108" i="4"/>
  <c r="E109" i="4"/>
  <c r="G109" i="4"/>
  <c r="E110" i="4"/>
  <c r="G110" i="4"/>
  <c r="E101" i="4"/>
  <c r="G101" i="4"/>
  <c r="E102" i="4"/>
  <c r="G102" i="4"/>
  <c r="E65" i="4"/>
  <c r="E66" i="4"/>
  <c r="G65" i="4"/>
  <c r="G66" i="4"/>
  <c r="E64" i="4"/>
  <c r="G64" i="4"/>
  <c r="E124" i="4"/>
  <c r="G124" i="4"/>
  <c r="E139" i="4"/>
  <c r="G139" i="4"/>
  <c r="E140" i="4"/>
  <c r="G140" i="4"/>
  <c r="E130" i="4"/>
  <c r="G130" i="4"/>
  <c r="E131" i="4"/>
  <c r="G131" i="4"/>
  <c r="E132" i="4"/>
  <c r="G132" i="4"/>
  <c r="E133" i="4"/>
  <c r="G133" i="4"/>
  <c r="E134" i="4"/>
  <c r="G134" i="4"/>
  <c r="E135" i="4"/>
  <c r="G135" i="4"/>
  <c r="E136" i="4"/>
  <c r="G136" i="4"/>
  <c r="E137" i="4"/>
  <c r="G137" i="4"/>
  <c r="E138" i="4"/>
  <c r="G138" i="4"/>
  <c r="E127" i="4"/>
  <c r="G127" i="4"/>
  <c r="E125" i="4"/>
  <c r="G125" i="4"/>
  <c r="E126" i="4"/>
  <c r="G126" i="4"/>
  <c r="E128" i="4"/>
  <c r="G128" i="4"/>
  <c r="E129" i="4"/>
  <c r="G129" i="4"/>
  <c r="E115" i="4"/>
  <c r="G115" i="4"/>
  <c r="E116" i="4"/>
  <c r="G116" i="4"/>
  <c r="E117" i="4"/>
  <c r="G117" i="4"/>
  <c r="E118" i="4"/>
  <c r="G118" i="4"/>
  <c r="E119" i="4"/>
  <c r="G119" i="4"/>
  <c r="E120" i="4"/>
  <c r="G120" i="4"/>
  <c r="E121" i="4"/>
  <c r="G121" i="4"/>
  <c r="E122" i="4"/>
  <c r="G122" i="4"/>
  <c r="E123" i="4"/>
  <c r="G123" i="4"/>
  <c r="E95" i="4"/>
  <c r="G95" i="4"/>
  <c r="E96" i="4"/>
  <c r="G96" i="4"/>
  <c r="E97" i="4"/>
  <c r="G97" i="4"/>
  <c r="E98" i="4"/>
  <c r="G98" i="4"/>
  <c r="E99" i="4"/>
  <c r="G99" i="4"/>
  <c r="E100" i="4"/>
  <c r="G100" i="4"/>
  <c r="E114" i="4"/>
  <c r="G114" i="4"/>
  <c r="E90" i="4"/>
  <c r="G90" i="4"/>
  <c r="E91" i="4"/>
  <c r="G91" i="4"/>
  <c r="E92" i="4"/>
  <c r="G92" i="4"/>
  <c r="E93" i="4"/>
  <c r="G93" i="4"/>
  <c r="E94" i="4"/>
  <c r="G94" i="4"/>
  <c r="E79" i="4"/>
  <c r="G79" i="4"/>
  <c r="E80" i="4"/>
  <c r="G80" i="4"/>
  <c r="E81" i="4"/>
  <c r="G81" i="4"/>
  <c r="E82" i="4"/>
  <c r="G82" i="4"/>
  <c r="E83" i="4"/>
  <c r="G83" i="4"/>
  <c r="E84" i="4"/>
  <c r="G84" i="4"/>
  <c r="E85" i="4"/>
  <c r="G85" i="4"/>
  <c r="E86" i="4"/>
  <c r="G86" i="4"/>
  <c r="E87" i="4"/>
  <c r="G87" i="4"/>
  <c r="E88" i="4"/>
  <c r="G88" i="4"/>
  <c r="E69" i="4"/>
  <c r="G69" i="4"/>
  <c r="E70" i="4"/>
  <c r="G70" i="4"/>
  <c r="E71" i="4"/>
  <c r="G71" i="4"/>
  <c r="E72" i="4"/>
  <c r="G72" i="4"/>
  <c r="E73" i="4"/>
  <c r="G73" i="4"/>
  <c r="E74" i="4"/>
  <c r="G74" i="4"/>
  <c r="E75" i="4"/>
  <c r="G75" i="4"/>
  <c r="E76" i="4"/>
  <c r="G76" i="4"/>
  <c r="E77" i="4"/>
  <c r="G77" i="4"/>
  <c r="E78" i="4"/>
  <c r="G78" i="4"/>
  <c r="E89" i="4"/>
  <c r="G89" i="4"/>
  <c r="E141" i="4"/>
  <c r="G141" i="4"/>
  <c r="E60" i="4"/>
  <c r="G60" i="4"/>
  <c r="E61" i="4"/>
  <c r="G61" i="4"/>
  <c r="E62" i="4"/>
  <c r="G62" i="4"/>
  <c r="E63" i="4"/>
  <c r="G63" i="4"/>
  <c r="E67" i="4"/>
  <c r="E68" i="4"/>
  <c r="G67" i="4"/>
  <c r="G68" i="4"/>
  <c r="E59" i="4"/>
  <c r="G59" i="4"/>
  <c r="E58" i="4"/>
  <c r="G58" i="4"/>
  <c r="E57" i="4"/>
  <c r="G57" i="4"/>
  <c r="E55" i="4"/>
  <c r="E56" i="4"/>
  <c r="G55" i="4"/>
  <c r="G56" i="4"/>
  <c r="E53" i="4"/>
  <c r="E54" i="4"/>
  <c r="G53" i="4"/>
  <c r="G54" i="4"/>
  <c r="E52" i="4"/>
  <c r="G52" i="4"/>
  <c r="E51" i="4"/>
  <c r="G51" i="4"/>
  <c r="E50" i="4"/>
  <c r="G50" i="4"/>
  <c r="E49" i="4"/>
  <c r="G49" i="4"/>
  <c r="E48" i="4"/>
  <c r="G48" i="4"/>
  <c r="E47" i="4"/>
  <c r="G47" i="4"/>
  <c r="E46" i="4"/>
  <c r="G46" i="4"/>
  <c r="E45" i="4"/>
  <c r="G45" i="4"/>
  <c r="E44" i="4"/>
  <c r="G44" i="4"/>
  <c r="E43" i="4"/>
  <c r="G43" i="4"/>
  <c r="E42" i="4"/>
  <c r="G42" i="4"/>
  <c r="E41" i="4"/>
  <c r="G41" i="4"/>
  <c r="E40" i="4"/>
  <c r="G40" i="4"/>
  <c r="E39" i="4"/>
  <c r="G39" i="4"/>
  <c r="E38" i="4"/>
  <c r="G38" i="4"/>
  <c r="E37" i="4"/>
  <c r="G37" i="4"/>
  <c r="E36" i="4"/>
  <c r="G36" i="4"/>
  <c r="E35" i="4"/>
  <c r="G35" i="4"/>
  <c r="E34" i="4"/>
  <c r="G34" i="4"/>
  <c r="E33" i="4"/>
  <c r="G33" i="4"/>
  <c r="E32" i="4"/>
  <c r="G32" i="4"/>
  <c r="E30" i="4"/>
  <c r="E31" i="4"/>
  <c r="G30" i="4"/>
  <c r="G31" i="4"/>
  <c r="E21" i="4"/>
  <c r="E22" i="4"/>
  <c r="E23" i="4"/>
  <c r="E24" i="4"/>
  <c r="E25" i="4"/>
  <c r="E26" i="4"/>
  <c r="E27" i="4"/>
  <c r="E28" i="4"/>
  <c r="E29" i="4"/>
  <c r="G21" i="4"/>
  <c r="G22" i="4"/>
  <c r="G23" i="4"/>
  <c r="G24" i="4"/>
  <c r="G25" i="4"/>
  <c r="G26" i="4"/>
  <c r="G27" i="4"/>
  <c r="G28" i="4"/>
  <c r="G29" i="4"/>
  <c r="E20" i="4"/>
  <c r="G20" i="4"/>
  <c r="E18" i="4"/>
  <c r="G18" i="4"/>
  <c r="E16" i="4"/>
  <c r="G16" i="4"/>
  <c r="E6" i="4"/>
  <c r="G6" i="4"/>
  <c r="E13" i="4"/>
  <c r="G13" i="4"/>
  <c r="E14" i="4"/>
  <c r="G14" i="4"/>
  <c r="E15" i="4"/>
  <c r="G15" i="4"/>
  <c r="E17" i="4"/>
  <c r="G17" i="4"/>
  <c r="E10" i="4"/>
  <c r="G10" i="4"/>
  <c r="E11" i="4"/>
  <c r="G11" i="4"/>
  <c r="E12" i="4"/>
  <c r="G12" i="4"/>
  <c r="E8" i="4"/>
  <c r="G8" i="4"/>
  <c r="E9" i="4"/>
  <c r="G9" i="4"/>
  <c r="E19" i="4"/>
  <c r="G19" i="4"/>
  <c r="E7" i="4"/>
  <c r="G7" i="4"/>
  <c r="J111" i="4"/>
  <c r="O111" i="4"/>
  <c r="J112" i="4"/>
  <c r="O112" i="4"/>
  <c r="J113" i="4"/>
  <c r="O113" i="4"/>
  <c r="J103" i="4"/>
  <c r="O103" i="4"/>
  <c r="J104" i="4"/>
  <c r="O104" i="4"/>
  <c r="J105" i="4"/>
  <c r="O105" i="4"/>
  <c r="J106" i="4"/>
  <c r="O106" i="4"/>
  <c r="J107" i="4"/>
  <c r="O107" i="4"/>
  <c r="J108" i="4"/>
  <c r="O108" i="4"/>
  <c r="J109" i="4"/>
  <c r="O109" i="4"/>
  <c r="J110" i="4"/>
  <c r="O110" i="4"/>
  <c r="J101" i="4"/>
  <c r="O101" i="4"/>
  <c r="J102" i="4"/>
  <c r="O102" i="4"/>
  <c r="J65" i="4"/>
  <c r="J66" i="4"/>
  <c r="O65" i="4"/>
  <c r="O66" i="4"/>
  <c r="J64" i="4"/>
  <c r="O64" i="4"/>
  <c r="J124" i="4"/>
  <c r="O124" i="4"/>
  <c r="J139" i="4"/>
  <c r="O139" i="4"/>
  <c r="J140" i="4"/>
  <c r="O140" i="4"/>
  <c r="J130" i="4"/>
  <c r="O130" i="4"/>
  <c r="J131" i="4"/>
  <c r="O131" i="4"/>
  <c r="J132" i="4"/>
  <c r="O132" i="4"/>
  <c r="J133" i="4"/>
  <c r="O133" i="4"/>
  <c r="J134" i="4"/>
  <c r="O134" i="4"/>
  <c r="J135" i="4"/>
  <c r="O135" i="4"/>
  <c r="J136" i="4"/>
  <c r="O136" i="4"/>
  <c r="J137" i="4"/>
  <c r="O137" i="4"/>
  <c r="J138" i="4"/>
  <c r="O138" i="4"/>
  <c r="J127" i="4"/>
  <c r="O127" i="4"/>
  <c r="J125" i="4"/>
  <c r="O125" i="4"/>
  <c r="J126" i="4"/>
  <c r="O126" i="4"/>
  <c r="J128" i="4"/>
  <c r="O128" i="4"/>
  <c r="J129" i="4"/>
  <c r="O129" i="4"/>
  <c r="J115" i="4"/>
  <c r="O115" i="4"/>
  <c r="J116" i="4"/>
  <c r="O116" i="4"/>
  <c r="J117" i="4"/>
  <c r="O117" i="4"/>
  <c r="J118" i="4"/>
  <c r="O118" i="4"/>
  <c r="J119" i="4"/>
  <c r="O119" i="4"/>
  <c r="J120" i="4"/>
  <c r="O120" i="4"/>
  <c r="J121" i="4"/>
  <c r="O121" i="4"/>
  <c r="J122" i="4"/>
  <c r="O122" i="4"/>
  <c r="J123" i="4"/>
  <c r="O123" i="4"/>
  <c r="J95" i="4"/>
  <c r="O95" i="4"/>
  <c r="J96" i="4"/>
  <c r="O96" i="4"/>
  <c r="J97" i="4"/>
  <c r="O97" i="4"/>
  <c r="J98" i="4"/>
  <c r="O98" i="4"/>
  <c r="J99" i="4"/>
  <c r="O99" i="4"/>
  <c r="J100" i="4"/>
  <c r="O100" i="4"/>
  <c r="J114" i="4"/>
  <c r="O114" i="4"/>
  <c r="J90" i="4"/>
  <c r="O90" i="4"/>
  <c r="J91" i="4"/>
  <c r="O91" i="4"/>
  <c r="J92" i="4"/>
  <c r="O92" i="4"/>
  <c r="J93" i="4"/>
  <c r="O93" i="4"/>
  <c r="J94" i="4"/>
  <c r="O94" i="4"/>
  <c r="J79" i="4"/>
  <c r="O79" i="4"/>
  <c r="J80" i="4"/>
  <c r="O80" i="4"/>
  <c r="J81" i="4"/>
  <c r="O81" i="4"/>
  <c r="J82" i="4"/>
  <c r="O82" i="4"/>
  <c r="J83" i="4"/>
  <c r="O83" i="4"/>
  <c r="J84" i="4"/>
  <c r="O84" i="4"/>
  <c r="J85" i="4"/>
  <c r="O85" i="4"/>
  <c r="J86" i="4"/>
  <c r="O86" i="4"/>
  <c r="J87" i="4"/>
  <c r="O87" i="4"/>
  <c r="J88" i="4"/>
  <c r="O88" i="4"/>
  <c r="J69" i="4"/>
  <c r="O69" i="4"/>
  <c r="J70" i="4"/>
  <c r="O70" i="4"/>
  <c r="J71" i="4"/>
  <c r="O71" i="4"/>
  <c r="J72" i="4"/>
  <c r="O72" i="4"/>
  <c r="J73" i="4"/>
  <c r="O73" i="4"/>
  <c r="J74" i="4"/>
  <c r="O74" i="4"/>
  <c r="J75" i="4"/>
  <c r="O75" i="4"/>
  <c r="J76" i="4"/>
  <c r="O76" i="4"/>
  <c r="J77" i="4"/>
  <c r="O77" i="4"/>
  <c r="J78" i="4"/>
  <c r="O78" i="4"/>
  <c r="J89" i="4"/>
  <c r="O89" i="4"/>
  <c r="J141" i="4"/>
  <c r="O141" i="4"/>
  <c r="J60" i="4"/>
  <c r="O60" i="4"/>
  <c r="J61" i="4"/>
  <c r="O61" i="4"/>
  <c r="J62" i="4"/>
  <c r="O62" i="4"/>
  <c r="J63" i="4"/>
  <c r="O63" i="4"/>
  <c r="J67" i="4"/>
  <c r="J68" i="4"/>
  <c r="O67" i="4"/>
  <c r="O68" i="4"/>
  <c r="J59" i="4"/>
  <c r="O59" i="4"/>
  <c r="J58" i="4"/>
  <c r="O58" i="4"/>
  <c r="J57" i="4"/>
  <c r="O57" i="4"/>
  <c r="J55" i="4"/>
  <c r="J56" i="4"/>
  <c r="O55" i="4"/>
  <c r="O56" i="4"/>
  <c r="J53" i="4"/>
  <c r="J54" i="4"/>
  <c r="O53" i="4"/>
  <c r="O54" i="4"/>
  <c r="J52" i="4"/>
  <c r="O52" i="4"/>
  <c r="J51" i="4"/>
  <c r="O51" i="4"/>
  <c r="J50" i="4"/>
  <c r="O50" i="4"/>
  <c r="J49" i="4"/>
  <c r="O49" i="4"/>
  <c r="J48" i="4"/>
  <c r="O48" i="4"/>
  <c r="J47" i="4"/>
  <c r="O47" i="4"/>
  <c r="J46" i="4"/>
  <c r="O46" i="4"/>
  <c r="J45" i="4"/>
  <c r="O45" i="4"/>
  <c r="J44" i="4"/>
  <c r="O44" i="4"/>
  <c r="J43" i="4"/>
  <c r="O43" i="4"/>
  <c r="J42" i="4"/>
  <c r="O42" i="4"/>
  <c r="J41" i="4"/>
  <c r="O41" i="4"/>
  <c r="J40" i="4"/>
  <c r="O40" i="4"/>
  <c r="J39" i="4"/>
  <c r="O39" i="4"/>
  <c r="J38" i="4"/>
  <c r="O38" i="4"/>
  <c r="J37" i="4"/>
  <c r="O37" i="4"/>
  <c r="J36" i="4"/>
  <c r="O36" i="4"/>
  <c r="J35" i="4"/>
  <c r="O35" i="4"/>
  <c r="J34" i="4"/>
  <c r="O34" i="4"/>
  <c r="J33" i="4"/>
  <c r="O33" i="4"/>
  <c r="J32" i="4"/>
  <c r="O32" i="4"/>
  <c r="J30" i="4"/>
  <c r="J31" i="4"/>
  <c r="O30" i="4"/>
  <c r="O31" i="4"/>
  <c r="J21" i="4"/>
  <c r="J22" i="4"/>
  <c r="J23" i="4"/>
  <c r="J24" i="4"/>
  <c r="J25" i="4"/>
  <c r="J26" i="4"/>
  <c r="J27" i="4"/>
  <c r="J28" i="4"/>
  <c r="J29" i="4"/>
  <c r="O21" i="4"/>
  <c r="O22" i="4"/>
  <c r="O23" i="4"/>
  <c r="O24" i="4"/>
  <c r="O25" i="4"/>
  <c r="O26" i="4"/>
  <c r="O27" i="4"/>
  <c r="O28" i="4"/>
  <c r="O29" i="4"/>
  <c r="J20" i="4"/>
  <c r="O20" i="4"/>
  <c r="J18" i="4"/>
  <c r="O18" i="4"/>
  <c r="J16" i="4"/>
  <c r="O16" i="4"/>
  <c r="J6" i="4"/>
  <c r="O6" i="4"/>
  <c r="C9" i="3"/>
  <c r="C10" i="3"/>
  <c r="C14" i="3"/>
  <c r="C13" i="3"/>
  <c r="C12" i="3"/>
  <c r="C11" i="3"/>
  <c r="C8" i="3"/>
  <c r="C7" i="3"/>
  <c r="E3" i="16" l="1"/>
  <c r="E4" i="16"/>
  <c r="E5" i="16"/>
  <c r="E6" i="16"/>
  <c r="E7" i="16"/>
  <c r="E8" i="16"/>
  <c r="E9" i="16"/>
  <c r="E10" i="16"/>
  <c r="E11" i="16"/>
  <c r="E12" i="16"/>
  <c r="E13" i="16"/>
  <c r="E14" i="16"/>
  <c r="E17" i="16"/>
  <c r="E20" i="16"/>
  <c r="E21" i="16"/>
  <c r="E22" i="16"/>
  <c r="E23" i="16"/>
  <c r="E24" i="16"/>
  <c r="E26" i="16"/>
  <c r="E27" i="16"/>
  <c r="E2" i="16"/>
  <c r="O7" i="4"/>
  <c r="O8" i="4"/>
  <c r="O9" i="4"/>
  <c r="O10" i="4"/>
  <c r="O11" i="4"/>
  <c r="O12" i="4"/>
  <c r="O13" i="4"/>
  <c r="O14" i="4"/>
  <c r="O15" i="4"/>
  <c r="O17" i="4"/>
  <c r="O19" i="4"/>
  <c r="J7" i="4"/>
  <c r="J8" i="4"/>
  <c r="J9" i="4"/>
  <c r="J10" i="4"/>
  <c r="J11" i="4"/>
  <c r="J12" i="4"/>
  <c r="J13" i="4"/>
  <c r="J14" i="4"/>
  <c r="J15" i="4"/>
  <c r="J17" i="4"/>
  <c r="J19" i="4"/>
  <c r="F10" i="2" l="1"/>
  <c r="F8" i="2"/>
  <c r="F9" i="2" s="1"/>
  <c r="F11" i="2" s="1"/>
  <c r="C6" i="3" l="1"/>
  <c r="K3" i="3" l="1"/>
  <c r="K2" i="3"/>
</calcChain>
</file>

<file path=xl/sharedStrings.xml><?xml version="1.0" encoding="utf-8"?>
<sst xmlns="http://schemas.openxmlformats.org/spreadsheetml/2006/main" count="968" uniqueCount="423">
  <si>
    <t>Mockup Tab Name</t>
  </si>
  <si>
    <t>Type</t>
  </si>
  <si>
    <t>obj</t>
  </si>
  <si>
    <t>attrname</t>
  </si>
  <si>
    <t>attrtype</t>
  </si>
  <si>
    <t>attrdefault</t>
  </si>
  <si>
    <t>attrchoices</t>
  </si>
  <si>
    <t>field_shorttext</t>
  </si>
  <si>
    <t>false</t>
  </si>
  <si>
    <t>field_mediumtext</t>
  </si>
  <si>
    <t>field_longtext</t>
  </si>
  <si>
    <t>field_enum</t>
  </si>
  <si>
    <t>field_rel</t>
  </si>
  <si>
    <t>field_shortint</t>
  </si>
  <si>
    <t>field_decimal</t>
  </si>
  <si>
    <t>field_longint</t>
  </si>
  <si>
    <t>field_boolean</t>
  </si>
  <si>
    <t>field_date</t>
  </si>
  <si>
    <t>Data Types</t>
  </si>
  <si>
    <t>Boolean</t>
  </si>
  <si>
    <t>Object</t>
  </si>
  <si>
    <t>Group</t>
  </si>
  <si>
    <t>Booleans</t>
  </si>
  <si>
    <t>true</t>
  </si>
  <si>
    <t>Date/Time</t>
  </si>
  <si>
    <t>rel</t>
  </si>
  <si>
    <t>field_time</t>
  </si>
  <si>
    <t>field_datetime</t>
  </si>
  <si>
    <t>Number</t>
  </si>
  <si>
    <t>field_currency</t>
  </si>
  <si>
    <t>Text</t>
  </si>
  <si>
    <t>field_email</t>
  </si>
  <si>
    <t>field_formula</t>
  </si>
  <si>
    <t>field_tinytext</t>
  </si>
  <si>
    <t>field_xlongtext</t>
  </si>
  <si>
    <t>field_url</t>
  </si>
  <si>
    <t>field_password</t>
  </si>
  <si>
    <t>field_json</t>
  </si>
  <si>
    <t>field_html</t>
  </si>
  <si>
    <t>Masked</t>
  </si>
  <si>
    <t>field_phone</t>
  </si>
  <si>
    <t>field_zipcode</t>
  </si>
  <si>
    <t>Especial</t>
  </si>
  <si>
    <t>field_color</t>
  </si>
  <si>
    <t>field_image (Prototype)</t>
  </si>
  <si>
    <t>field_file (Protptype)</t>
  </si>
  <si>
    <t>Custom</t>
  </si>
  <si>
    <t>field_usstate (Prototype)</t>
  </si>
  <si>
    <t>defaultValue</t>
  </si>
  <si>
    <t>attrChoices</t>
  </si>
  <si>
    <t>type</t>
  </si>
  <si>
    <t>Title</t>
  </si>
  <si>
    <t xml:space="preserve"> </t>
  </si>
  <si>
    <t>Field count</t>
  </si>
  <si>
    <t>Total Objects</t>
  </si>
  <si>
    <t>Missing Objects</t>
  </si>
  <si>
    <t>field_lifecycle</t>
  </si>
  <si>
    <t>Module Name</t>
  </si>
  <si>
    <t xml:space="preserve">Form Layout Columns </t>
  </si>
  <si>
    <t>Required</t>
  </si>
  <si>
    <t>Hidden</t>
  </si>
  <si>
    <t>ReadOnly</t>
  </si>
  <si>
    <t>No Label</t>
  </si>
  <si>
    <t>Menu</t>
  </si>
  <si>
    <t>Submenu</t>
  </si>
  <si>
    <t>app/src/app/layout/app.sidebar.component.html</t>
  </si>
  <si>
    <t>app/src/app/layout/app.menu.component.ts</t>
  </si>
  <si>
    <t>app/dist/main.js</t>
  </si>
  <si>
    <t>AuthService.getCurrentUser</t>
  </si>
  <si>
    <r>
      <t>this</t>
    </r>
    <r>
      <rPr>
        <sz val="11"/>
        <color rgb="FFFFFFFF"/>
        <rFont val="Consolas"/>
        <family val="3"/>
      </rPr>
      <t>.</t>
    </r>
    <r>
      <rPr>
        <sz val="11"/>
        <color rgb="FF9CDCFE"/>
        <rFont val="Consolas"/>
        <family val="3"/>
      </rPr>
      <t>http</t>
    </r>
    <r>
      <rPr>
        <sz val="11"/>
        <color rgb="FFFFFFFF"/>
        <rFont val="Consolas"/>
        <family val="3"/>
      </rPr>
      <t>.</t>
    </r>
    <r>
      <rPr>
        <sz val="11"/>
        <color rgb="FFDCDCAA"/>
        <rFont val="Consolas"/>
        <family val="3"/>
      </rPr>
      <t>get</t>
    </r>
    <r>
      <rPr>
        <sz val="11"/>
        <color rgb="FFFFFFFF"/>
        <rFont val="Consolas"/>
        <family val="3"/>
      </rPr>
      <t>(</t>
    </r>
    <r>
      <rPr>
        <sz val="11"/>
        <color rgb="FFCE9178"/>
        <rFont val="Consolas"/>
        <family val="3"/>
      </rPr>
      <t>`</t>
    </r>
    <r>
      <rPr>
        <sz val="11"/>
        <color rgb="FF569CD6"/>
        <rFont val="Consolas"/>
        <family val="3"/>
      </rPr>
      <t>${this</t>
    </r>
    <r>
      <rPr>
        <sz val="11"/>
        <color rgb="FFFFFFFF"/>
        <rFont val="Consolas"/>
        <family val="3"/>
      </rPr>
      <t>.</t>
    </r>
    <r>
      <rPr>
        <sz val="11"/>
        <color rgb="FF9CDCFE"/>
        <rFont val="Consolas"/>
        <family val="3"/>
      </rPr>
      <t>baseUrl</t>
    </r>
    <r>
      <rPr>
        <sz val="11"/>
        <color rgb="FF569CD6"/>
        <rFont val="Consolas"/>
        <family val="3"/>
      </rPr>
      <t>}${this</t>
    </r>
    <r>
      <rPr>
        <sz val="11"/>
        <color rgb="FFFFFFFF"/>
        <rFont val="Consolas"/>
        <family val="3"/>
      </rPr>
      <t>.</t>
    </r>
    <r>
      <rPr>
        <sz val="11"/>
        <color rgb="FF9CDCFE"/>
        <rFont val="Consolas"/>
        <family val="3"/>
      </rPr>
      <t>path</t>
    </r>
    <r>
      <rPr>
        <sz val="11"/>
        <color rgb="FF569CD6"/>
        <rFont val="Consolas"/>
        <family val="3"/>
      </rPr>
      <t>}</t>
    </r>
    <r>
      <rPr>
        <sz val="11"/>
        <color rgb="FFCE9178"/>
        <rFont val="Consolas"/>
        <family val="3"/>
      </rPr>
      <t>/users/current`</t>
    </r>
    <r>
      <rPr>
        <sz val="11"/>
        <color rgb="FFFFFFFF"/>
        <rFont val="Consolas"/>
        <family val="3"/>
      </rPr>
      <t>);</t>
    </r>
  </si>
  <si>
    <t>api/app/Http/Controllers/Auth/AuthController.php</t>
  </si>
  <si>
    <t>api/app/Helpers/Auth/JwtHelper.php</t>
  </si>
  <si>
    <t>api/app/Helpers/Auth/ModelHelper.php</t>
  </si>
  <si>
    <t>api/app/Models/Auth/User.php</t>
  </si>
  <si>
    <t>Consulta del menu</t>
  </si>
  <si>
    <t>Table Name</t>
  </si>
  <si>
    <t>Label</t>
  </si>
  <si>
    <t>Comments</t>
  </si>
  <si>
    <t>Field Name</t>
  </si>
  <si>
    <t>despacho</t>
  </si>
  <si>
    <t>field_id</t>
  </si>
  <si>
    <t>field_fk</t>
  </si>
  <si>
    <t>FK References</t>
  </si>
  <si>
    <t>Action</t>
  </si>
  <si>
    <t>After Field</t>
  </si>
  <si>
    <t>Actions</t>
  </si>
  <si>
    <t>Add</t>
  </si>
  <si>
    <t>Delete</t>
  </si>
  <si>
    <t>Change</t>
  </si>
  <si>
    <t>Tables</t>
  </si>
  <si>
    <t>Fields</t>
  </si>
  <si>
    <t>Attributes</t>
  </si>
  <si>
    <t>Title2</t>
  </si>
  <si>
    <t>parameters</t>
  </si>
  <si>
    <t>teams</t>
  </si>
  <si>
    <t>shifts</t>
  </si>
  <si>
    <t>employees</t>
  </si>
  <si>
    <t>processes</t>
  </si>
  <si>
    <t>resources</t>
  </si>
  <si>
    <t>base_rates</t>
  </si>
  <si>
    <t>operations</t>
  </si>
  <si>
    <t>product_categories</t>
  </si>
  <si>
    <t>products</t>
  </si>
  <si>
    <t>product_operations</t>
  </si>
  <si>
    <t>devices</t>
  </si>
  <si>
    <t>device_locations</t>
  </si>
  <si>
    <t>device_operations</t>
  </si>
  <si>
    <t>device_pack</t>
  </si>
  <si>
    <t>device_employees</t>
  </si>
  <si>
    <t>plant_layout_locations</t>
  </si>
  <si>
    <t>offstandards</t>
  </si>
  <si>
    <t>offstandard_categories</t>
  </si>
  <si>
    <t>camera_type</t>
  </si>
  <si>
    <t>url_api</t>
  </si>
  <si>
    <t>code</t>
  </si>
  <si>
    <t>device_id</t>
  </si>
  <si>
    <t>show_app</t>
  </si>
  <si>
    <t>name</t>
  </si>
  <si>
    <t>color</t>
  </si>
  <si>
    <t>status</t>
  </si>
  <si>
    <t>description</t>
  </si>
  <si>
    <t>first_name</t>
  </si>
  <si>
    <t>last_name</t>
  </si>
  <si>
    <t>image</t>
  </si>
  <si>
    <t>team_id</t>
  </si>
  <si>
    <t>takt_time</t>
  </si>
  <si>
    <t>gender</t>
  </si>
  <si>
    <t>marital_status</t>
  </si>
  <si>
    <t>date_of_birth</t>
  </si>
  <si>
    <t>number_of_children</t>
  </si>
  <si>
    <t>plant_layout_id</t>
  </si>
  <si>
    <t>employee_setup</t>
  </si>
  <si>
    <t>employee_id</t>
  </si>
  <si>
    <t>shift_id</t>
  </si>
  <si>
    <t>phone</t>
  </si>
  <si>
    <t>email</t>
  </si>
  <si>
    <t>address1</t>
  </si>
  <si>
    <t>address2</t>
  </si>
  <si>
    <t>allow_notifications</t>
  </si>
  <si>
    <t>contact_methods</t>
  </si>
  <si>
    <t>contact_method_id</t>
  </si>
  <si>
    <t>employee_contact_methods</t>
  </si>
  <si>
    <t>employee_contact_persons</t>
  </si>
  <si>
    <t>value</t>
  </si>
  <si>
    <t>Empleados</t>
  </si>
  <si>
    <t>entry_window</t>
  </si>
  <si>
    <t>exit_window</t>
  </si>
  <si>
    <t>event_types</t>
  </si>
  <si>
    <t>shift_events</t>
  </si>
  <si>
    <t>event_type_id</t>
  </si>
  <si>
    <t>from_datetime</t>
  </si>
  <si>
    <t>to_datetime</t>
  </si>
  <si>
    <t>repeat_event</t>
  </si>
  <si>
    <t>rate</t>
  </si>
  <si>
    <t>dpi</t>
  </si>
  <si>
    <t>sam</t>
  </si>
  <si>
    <t>resource_id</t>
  </si>
  <si>
    <t>process_id</t>
  </si>
  <si>
    <t>operation_locations</t>
  </si>
  <si>
    <t>operation_id</t>
  </si>
  <si>
    <t>base_rate_id</t>
  </si>
  <si>
    <t>rel_operation_locations</t>
  </si>
  <si>
    <t>field_form</t>
  </si>
  <si>
    <t>field_grid</t>
  </si>
  <si>
    <t>field_listmul</t>
  </si>
  <si>
    <t>product_category_id</t>
  </si>
  <si>
    <t>References</t>
  </si>
  <si>
    <t>rel_product_operations</t>
  </si>
  <si>
    <t>production_planning_detail_id</t>
  </si>
  <si>
    <t>rel_employee_setup</t>
  </si>
  <si>
    <t>rel_employee_contact_persons</t>
  </si>
  <si>
    <t>rel_employee_contact_methods</t>
  </si>
  <si>
    <t>plant_layouts</t>
  </si>
  <si>
    <t>production_planning_detail</t>
  </si>
  <si>
    <t>x</t>
  </si>
  <si>
    <t>[{ "label": "Trasera", "value": "Trasera" },{ "label": "Frontal", "value": "Frontal" }]</t>
  </si>
  <si>
    <t>[{ "label": "Masculino", "value": "Masculino" },{ "label": "Femenino", "value": "Femenino" },{ "label": "No binario", "value": "No binario" },{ "label": "Prefiero no especificar", "value": "Prefiero no especificar" }]</t>
  </si>
  <si>
    <t>[{ "label": "Soltero(a)", "value": "Soltero(a)" },{ "label": "Casado(a)", "value": "Casado(a)" },{ "label": "Union Libre", "value": "Union Libre" },{ "label": "Separado(a)", "value": "Separado(a)" },{ "label": "Divorciado(a)", "value": "Divorciado(a)" },{ "label": "Viudo(a)", "value": "Viudo(a)" }]</t>
  </si>
  <si>
    <t>[{ "label": "Control de Piso", "value": "Control de Piso" },{ "label": "Calidad", "value": "Calidad" }]</t>
  </si>
  <si>
    <t>[{ "label": "No repetir", "value": "No repetir" }, { "label": "Diariamente", "value": "Diariamente" }, { "label": "Semanalmente", "value": "Semanalmente" }, { "label": "Cada dos semanas", "value": "Cada dos semanas" }, { "label": "Mensualmente", "value": "Mensualmente" }, { "label": "Anualmente", "value": "Anualmente" }, { "label": "Dias laborables", "value": "Dias laborables" }, { "label": "Fines de semana", "value": "Fines de semana" }, { "label": "Cada X dias/semanas/meses", "value": "Cada X dias/semanas/meses" }, { "label": "Repetir hasta fecha especifica", "value": "Repetir hasta fecha especifica" }, { "label": "Repetir numero de veces", "value": "Repetir numero de veces" }, { "label": "Personalizado", "value": "Personalizado" }]</t>
  </si>
  <si>
    <t>offstandard_id</t>
  </si>
  <si>
    <t xml:space="preserve">php artisan migration:schema employees "Empleados" </t>
  </si>
  <si>
    <t xml:space="preserve">php artisan migration:schema  "" </t>
  </si>
  <si>
    <t>Codigo</t>
  </si>
  <si>
    <t>Nombre</t>
  </si>
  <si>
    <t>Estado</t>
  </si>
  <si>
    <t>Imagen</t>
  </si>
  <si>
    <t>Genero</t>
  </si>
  <si>
    <t>Estado Civil</t>
  </si>
  <si>
    <t>Fecha de Nacimiento</t>
  </si>
  <si>
    <t>Direccion 1</t>
  </si>
  <si>
    <t>Direccion 2</t>
  </si>
  <si>
    <t>Telefono</t>
  </si>
  <si>
    <t>E-Mail</t>
  </si>
  <si>
    <t>Nombres</t>
  </si>
  <si>
    <t>masters</t>
  </si>
  <si>
    <t xml:space="preserve">php artisan front:react masters employees "Empleados" </t>
  </si>
  <si>
    <t xml:space="preserve">php artisan front:react   "" </t>
  </si>
  <si>
    <t xml:space="preserve">DROP TABLE </t>
  </si>
  <si>
    <t xml:space="preserve">php artisan back:laravel plannerx employees "Empleados" </t>
  </si>
  <si>
    <t xml:space="preserve">php artisan back:laravel plannerx  "" </t>
  </si>
  <si>
    <t>offstandard_category_id</t>
  </si>
  <si>
    <t>rel_device_parameters</t>
  </si>
  <si>
    <t>rel_device_locations</t>
  </si>
  <si>
    <t>rel_device_employees</t>
  </si>
  <si>
    <t>rel_device_packs</t>
  </si>
  <si>
    <t>rel_device_operations</t>
  </si>
  <si>
    <t>allow_employees</t>
  </si>
  <si>
    <t>[{ "label": "Todos los empleados", "value": "Todos los empleados" },{ "label": "Empleados de la planta", "value": "Empleados de la planta" },{ "label": "Empleados del modulo", "value": "Empleados del modulo" },{ "label": "Empleados de la ubicacion", "value": "Empleados de la ubicacion" }]</t>
  </si>
  <si>
    <t>patients</t>
  </si>
  <si>
    <t>psychologies</t>
  </si>
  <si>
    <t>evolutions</t>
  </si>
  <si>
    <t>phases</t>
  </si>
  <si>
    <t>targets</t>
  </si>
  <si>
    <t>evaluations</t>
  </si>
  <si>
    <t>relatives</t>
  </si>
  <si>
    <t>drugs</t>
  </si>
  <si>
    <t>Pacientes</t>
  </si>
  <si>
    <t>Psicología</t>
  </si>
  <si>
    <t>Drogas</t>
  </si>
  <si>
    <t>Parientes</t>
  </si>
  <si>
    <t>Evolucion</t>
  </si>
  <si>
    <t>Fases</t>
  </si>
  <si>
    <t>Objetivos</t>
  </si>
  <si>
    <t>Evaluaciones</t>
  </si>
  <si>
    <t>document_type</t>
  </si>
  <si>
    <t>cellphone</t>
  </si>
  <si>
    <t>Celular</t>
  </si>
  <si>
    <t>job_title</t>
  </si>
  <si>
    <t>Cargo</t>
  </si>
  <si>
    <t>Tipo de documento</t>
  </si>
  <si>
    <t>Numero</t>
  </si>
  <si>
    <t>Ocupacion</t>
  </si>
  <si>
    <t>health_insurance</t>
  </si>
  <si>
    <t>EPS</t>
  </si>
  <si>
    <t>level_of_education</t>
  </si>
  <si>
    <t>Escolaridad</t>
  </si>
  <si>
    <t>admission_date</t>
  </si>
  <si>
    <t>second_date</t>
  </si>
  <si>
    <t>third_date</t>
  </si>
  <si>
    <t>Fecha de Ingreso</t>
  </si>
  <si>
    <t>Fecha de Ingreso (por segunda vez)</t>
  </si>
  <si>
    <t>Fecha de Ingreso (por tercera vez)</t>
  </si>
  <si>
    <t>responsible_adult</t>
  </si>
  <si>
    <t>Acudiente</t>
  </si>
  <si>
    <t>Documento del acudiente</t>
  </si>
  <si>
    <t>responsible_adult_code</t>
  </si>
  <si>
    <t>relationship</t>
  </si>
  <si>
    <t>Parentesco</t>
  </si>
  <si>
    <t>drug_id</t>
  </si>
  <si>
    <t>Droga de impacto</t>
  </si>
  <si>
    <t>orientation</t>
  </si>
  <si>
    <t>body_language</t>
  </si>
  <si>
    <t>Lenguaje corporal</t>
  </si>
  <si>
    <t>ideation</t>
  </si>
  <si>
    <t>delusions</t>
  </si>
  <si>
    <t>Ideacion o intento suicida</t>
  </si>
  <si>
    <t>Delirios</t>
  </si>
  <si>
    <t>Alucinaciones</t>
  </si>
  <si>
    <t>hallucinations</t>
  </si>
  <si>
    <t>eating_problems</t>
  </si>
  <si>
    <t>Problemas de alimentacion</t>
  </si>
  <si>
    <t>treatment_motivations</t>
  </si>
  <si>
    <t>Motivacion al tratamiento</t>
  </si>
  <si>
    <t>end_date</t>
  </si>
  <si>
    <t>Fecha de Salida</t>
  </si>
  <si>
    <t>cause_of_end</t>
  </si>
  <si>
    <t>Causa de salida</t>
  </si>
  <si>
    <t>end_date_second</t>
  </si>
  <si>
    <t>cause_of_end_second</t>
  </si>
  <si>
    <t>end_date_third</t>
  </si>
  <si>
    <t>cause_of_end_third</t>
  </si>
  <si>
    <t>Fecha de Salida (Por segunda vez)</t>
  </si>
  <si>
    <t>Causa de salida (Por segunda vez)</t>
  </si>
  <si>
    <t>Fecha de Salida (Por tercera vez)</t>
  </si>
  <si>
    <t>Causa de salida (Por tercera vez)</t>
  </si>
  <si>
    <t>comments</t>
  </si>
  <si>
    <t>Observaciones</t>
  </si>
  <si>
    <t>Funcionario</t>
  </si>
  <si>
    <t>issue_date</t>
  </si>
  <si>
    <t>Fecha de Elaboracion</t>
  </si>
  <si>
    <t>[{ "label": "DNI", "value": "DNI" },{ "label": "RUC", "value": "RUC" },{ "label": "TI", "value": "TI" },{ "label": "CEDULA", "value": "CEDULA" }]</t>
  </si>
  <si>
    <t>[{ "label": "Egreso", "value": "Egreso" },{ "label": "Abandono", "value": "Abandono" },{ "label": "Fuga", "value": "Fuga" },{ "label": "Remision", "value": "Remision" },{ "label": "Expulsion", "value": "Expulsion" }]</t>
  </si>
  <si>
    <t xml:space="preserve">php artisan migration:schema patients "Pacientes" </t>
  </si>
  <si>
    <t xml:space="preserve">php artisan back:laravel plannerx patients "Pacientes" </t>
  </si>
  <si>
    <t xml:space="preserve">php artisan migration:schema psychologies "Psicología" </t>
  </si>
  <si>
    <t xml:space="preserve">php artisan back:laravel plannerx psychologies "Psicología" </t>
  </si>
  <si>
    <t xml:space="preserve">php artisan migration:schema drugs "Drogas" </t>
  </si>
  <si>
    <t xml:space="preserve">php artisan migration:schema relatives "Parientes" </t>
  </si>
  <si>
    <t xml:space="preserve">php artisan back:laravel plannerx relatives "Parientes" </t>
  </si>
  <si>
    <t xml:space="preserve">php artisan migration:schema evolutions "Evolucion" </t>
  </si>
  <si>
    <t xml:space="preserve">php artisan back:laravel plannerx evolutions "Evolucion" </t>
  </si>
  <si>
    <t xml:space="preserve">php artisan migration:schema phases "Fases" </t>
  </si>
  <si>
    <t xml:space="preserve">php artisan back:laravel plannerx phases "Fases" </t>
  </si>
  <si>
    <t xml:space="preserve">php artisan migration:schema targets "Objetivos" </t>
  </si>
  <si>
    <t xml:space="preserve">php artisan back:laravel plannerx targets "Objetivos" </t>
  </si>
  <si>
    <t xml:space="preserve">php artisan migration:schema evaluations "Evaluaciones" </t>
  </si>
  <si>
    <t xml:space="preserve">php artisan back:laravel plannerx evaluations "Evaluaciones" </t>
  </si>
  <si>
    <t>transactions</t>
  </si>
  <si>
    <t xml:space="preserve">php artisan front:react masters patients "Pacientes" </t>
  </si>
  <si>
    <t xml:space="preserve">php artisan front:react transactions psychologies "Psicología" </t>
  </si>
  <si>
    <t xml:space="preserve">php artisan front:react masters drugs "Drogas" </t>
  </si>
  <si>
    <t xml:space="preserve">php artisan front:react masters relatives "Parientes" </t>
  </si>
  <si>
    <t xml:space="preserve">php artisan front:react transactions evolutions "Evolucion" </t>
  </si>
  <si>
    <t xml:space="preserve">php artisan front:react masters phases "Fases" </t>
  </si>
  <si>
    <t xml:space="preserve">php artisan front:react masters targets "Objetivos" </t>
  </si>
  <si>
    <t xml:space="preserve">php artisan front:react transactions evaluations "Evaluaciones" </t>
  </si>
  <si>
    <t>responsible_adult_phone</t>
  </si>
  <si>
    <t>responsible_adult_cellphone</t>
  </si>
  <si>
    <t>Ubicacion (Tiempo - Espacio - Persona)</t>
  </si>
  <si>
    <t>technical_name</t>
  </si>
  <si>
    <t>Nombre tecnico</t>
  </si>
  <si>
    <t>patient_id</t>
  </si>
  <si>
    <t>Paciente</t>
  </si>
  <si>
    <t>reason_of_visit</t>
  </si>
  <si>
    <t>Motivo de consulta</t>
  </si>
  <si>
    <t>relative_id</t>
  </si>
  <si>
    <t>family_history</t>
  </si>
  <si>
    <t>Antecedentes familiares</t>
  </si>
  <si>
    <t>work_history</t>
  </si>
  <si>
    <t>Antecedentes laborales</t>
  </si>
  <si>
    <t>Historia personal</t>
  </si>
  <si>
    <t>Personal_history</t>
  </si>
  <si>
    <t>addiction_history</t>
  </si>
  <si>
    <t>Historia de adiccion</t>
  </si>
  <si>
    <t>Via de administracion</t>
  </si>
  <si>
    <t>Otras subtancias</t>
  </si>
  <si>
    <t>Mayor sustancia</t>
  </si>
  <si>
    <t>current_consumption</t>
  </si>
  <si>
    <t>addictive_behavior</t>
  </si>
  <si>
    <t>¿Esta realizando la conducta adictiva?</t>
  </si>
  <si>
    <t>Tratamientos anteriores</t>
  </si>
  <si>
    <t>place_treatment</t>
  </si>
  <si>
    <t>previous_treatment</t>
  </si>
  <si>
    <t>Lugares y tiempos de tratamiento</t>
  </si>
  <si>
    <t>mental_illness</t>
  </si>
  <si>
    <t>Consumo actual</t>
  </si>
  <si>
    <t>Historia de enfermedad mental</t>
  </si>
  <si>
    <t>¿Ha tenido pensamientos o intentos de suicidio?</t>
  </si>
  <si>
    <t>homicidal_attempts</t>
  </si>
  <si>
    <t>¿Ha tenido pensamientos o intentos homicidas?</t>
  </si>
  <si>
    <t>language</t>
  </si>
  <si>
    <t>Lenguaje y pensamiento</t>
  </si>
  <si>
    <t>memory</t>
  </si>
  <si>
    <t>Memoria</t>
  </si>
  <si>
    <t>mood</t>
  </si>
  <si>
    <t>feeding</t>
  </si>
  <si>
    <t>Alimentacion</t>
  </si>
  <si>
    <t>sleep</t>
  </si>
  <si>
    <t>Sueno</t>
  </si>
  <si>
    <t>medication</t>
  </si>
  <si>
    <t>¿Está tomando algún tipo de medicamento?</t>
  </si>
  <si>
    <t>legal_issues</t>
  </si>
  <si>
    <t>Problematicas judiciales y/o comportamentales</t>
  </si>
  <si>
    <t>Orientacion (Persona, espacio y tiempo):</t>
  </si>
  <si>
    <t>Estado de animo</t>
  </si>
  <si>
    <t>Mecanismos de defensa</t>
  </si>
  <si>
    <t>another_difficulty</t>
  </si>
  <si>
    <t>Otras dificultades</t>
  </si>
  <si>
    <t>expectation</t>
  </si>
  <si>
    <t>¿Que expectativas y motivaciones tiene para el proceso?</t>
  </si>
  <si>
    <t>diagnostic_impression</t>
  </si>
  <si>
    <t>Impresion diagnostica</t>
  </si>
  <si>
    <t>intervention</t>
  </si>
  <si>
    <t>Propuesta de intervencion</t>
  </si>
  <si>
    <t>defense_mechanism</t>
  </si>
  <si>
    <t>Empleado</t>
  </si>
  <si>
    <t>date_of_evolution</t>
  </si>
  <si>
    <t>Fecha de registro</t>
  </si>
  <si>
    <t>area</t>
  </si>
  <si>
    <t>Area que registra evolucion</t>
  </si>
  <si>
    <t>Notas</t>
  </si>
  <si>
    <t>Nombre fase</t>
  </si>
  <si>
    <t>phase_id</t>
  </si>
  <si>
    <t>Fase</t>
  </si>
  <si>
    <t>creation_date</t>
  </si>
  <si>
    <t>Fecha de Creacion</t>
  </si>
  <si>
    <t>target_id</t>
  </si>
  <si>
    <t>Objetivo</t>
  </si>
  <si>
    <t>start_date</t>
  </si>
  <si>
    <t>Fecha final</t>
  </si>
  <si>
    <t>Fecha inicio</t>
  </si>
  <si>
    <t>clinical_team</t>
  </si>
  <si>
    <t>Apreciacion Equipo Clinico</t>
  </si>
  <si>
    <t>Logros y Dificultades</t>
  </si>
  <si>
    <t>achievement</t>
  </si>
  <si>
    <t>strategy</t>
  </si>
  <si>
    <t>Estrategias Utilizadas</t>
  </si>
  <si>
    <t>Exigencias</t>
  </si>
  <si>
    <t>requirement</t>
  </si>
  <si>
    <t>test</t>
  </si>
  <si>
    <t>[{ "label": "SI", "value": "SI" },{ "label": "NO", "value": "NO" }]</t>
  </si>
  <si>
    <t>[{ "label": "Positivo", "value": "Positivo" },{ "label": "Negativo", "value": "Negativo" },{ "label": "Observacion", "value": "Observacion" }]</t>
  </si>
  <si>
    <t>Evaluacion</t>
  </si>
  <si>
    <t>rel_targets</t>
  </si>
  <si>
    <t>rel_psychology_relatives</t>
  </si>
  <si>
    <t>rel_psychology_drugs</t>
  </si>
  <si>
    <t>psychology_relatives</t>
  </si>
  <si>
    <t>psychology_id</t>
  </si>
  <si>
    <t>age</t>
  </si>
  <si>
    <t>relationship_type</t>
  </si>
  <si>
    <t>psychology_drugs</t>
  </si>
  <si>
    <t>start_age</t>
  </si>
  <si>
    <t>frecuency_of_consumption</t>
  </si>
  <si>
    <t>maximum_abstinence</t>
  </si>
  <si>
    <t>consumption_date</t>
  </si>
  <si>
    <t>Historia Familiar</t>
  </si>
  <si>
    <t>Cuadro de consumo</t>
  </si>
  <si>
    <t>id</t>
  </si>
  <si>
    <t>Nombres y Apellidos</t>
  </si>
  <si>
    <t>Edad</t>
  </si>
  <si>
    <t>Tipo de relacion</t>
  </si>
  <si>
    <t>Sustancia</t>
  </si>
  <si>
    <t>Edad de inicio</t>
  </si>
  <si>
    <t>Frecuencia de Consumo</t>
  </si>
  <si>
    <t>Maxima abstinencia</t>
  </si>
  <si>
    <t>Fecha ultimo consumo</t>
  </si>
  <si>
    <t>way_administration</t>
  </si>
  <si>
    <t>highest_substance</t>
  </si>
  <si>
    <t>other_substances</t>
  </si>
  <si>
    <t>suicidal_thinking</t>
  </si>
  <si>
    <t>[{ "label": "Estrecha", "value": "Estrecha" },{ "label": "Cercana", "value": "Cercana" },{ "label": "Distante", "value": "Distante" }]</t>
  </si>
  <si>
    <t xml:space="preserve">php artisan back:laravel plannerx drugs "Drogas"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</si>
</sst>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b/>
      <sz val="12"/>
      <color rgb="FF0070C0"/>
      <name val="Aptos Narrow"/>
      <family val="2"/>
      <scheme val="minor"/>
    </font>
    <font>
      <sz val="11"/>
      <color theme="1"/>
      <name val="Calibri"/>
      <family val="2"/>
    </font>
    <font>
      <b/>
      <sz val="14"/>
      <color rgb="FF0070C0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1"/>
      <color rgb="FFFFFFFF"/>
      <name val="Consolas"/>
      <family val="3"/>
    </font>
    <font>
      <sz val="11"/>
      <color rgb="FF569CD6"/>
      <name val="Consolas"/>
      <family val="3"/>
    </font>
    <font>
      <sz val="11"/>
      <color rgb="FF9CDCFE"/>
      <name val="Consolas"/>
      <family val="3"/>
    </font>
    <font>
      <sz val="11"/>
      <color rgb="FFDCDCAA"/>
      <name val="Consolas"/>
      <family val="3"/>
    </font>
    <font>
      <sz val="11"/>
      <color rgb="FFCE9178"/>
      <name val="Consolas"/>
      <family val="3"/>
    </font>
    <font>
      <sz val="11"/>
      <color rgb="FFFF0000"/>
      <name val="Aptos Narrow"/>
      <family val="2"/>
      <scheme val="minor"/>
    </font>
    <font>
      <sz val="11"/>
      <color rgb="FFFFC000"/>
      <name val="Aptos Narrow"/>
      <family val="2"/>
      <scheme val="minor"/>
    </font>
    <font>
      <sz val="11"/>
      <color rgb="FF0000FF"/>
      <name val="Aptos Narrow"/>
      <family val="2"/>
    </font>
    <font>
      <sz val="11"/>
      <color rgb="FF333333"/>
      <name val="Source Sans Pro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0" fillId="0" borderId="0" xfId="0" quotePrefix="1"/>
    <xf numFmtId="0" fontId="2" fillId="0" borderId="0" xfId="0" applyFont="1"/>
    <xf numFmtId="0" fontId="3" fillId="0" borderId="0" xfId="0" applyFont="1"/>
    <xf numFmtId="49" fontId="0" fillId="0" borderId="0" xfId="0" applyNumberFormat="1"/>
    <xf numFmtId="0" fontId="5" fillId="0" borderId="0" xfId="0" applyFont="1"/>
    <xf numFmtId="0" fontId="6" fillId="0" borderId="0" xfId="0" applyFont="1"/>
    <xf numFmtId="0" fontId="0" fillId="0" borderId="0" xfId="0" applyAlignment="1">
      <alignment wrapText="1"/>
    </xf>
    <xf numFmtId="0" fontId="7" fillId="0" borderId="0" xfId="0" applyFont="1"/>
    <xf numFmtId="0" fontId="8" fillId="0" borderId="0" xfId="0" applyFont="1"/>
    <xf numFmtId="49" fontId="0" fillId="0" borderId="0" xfId="0" applyNumberFormat="1" applyAlignment="1">
      <alignment wrapText="1"/>
    </xf>
    <xf numFmtId="0" fontId="5" fillId="0" borderId="0" xfId="0" applyFont="1" applyAlignment="1">
      <alignment horizontal="left"/>
    </xf>
    <xf numFmtId="0" fontId="10" fillId="0" borderId="0" xfId="0" applyFont="1" applyAlignment="1">
      <alignment vertical="center"/>
    </xf>
    <xf numFmtId="0" fontId="0" fillId="0" borderId="0" xfId="0" applyAlignment="1">
      <alignment horizontal="left" vertical="top" wrapText="1"/>
    </xf>
    <xf numFmtId="0" fontId="14" fillId="0" borderId="0" xfId="0" applyFont="1"/>
    <xf numFmtId="0" fontId="15" fillId="0" borderId="0" xfId="0" applyFont="1"/>
    <xf numFmtId="0" fontId="0" fillId="2" borderId="1" xfId="0" applyFill="1" applyBorder="1"/>
    <xf numFmtId="0" fontId="0" fillId="0" borderId="1" xfId="0" applyBorder="1"/>
    <xf numFmtId="0" fontId="14" fillId="0" borderId="1" xfId="0" applyFont="1" applyBorder="1"/>
    <xf numFmtId="0" fontId="14" fillId="2" borderId="1" xfId="0" applyFont="1" applyFill="1" applyBorder="1"/>
    <xf numFmtId="0" fontId="17" fillId="0" borderId="0" xfId="0" applyFont="1"/>
    <xf numFmtId="0" fontId="0" fillId="0" borderId="1" xfId="0" applyBorder="1" applyAlignment="1">
      <alignment wrapText="1"/>
    </xf>
    <xf numFmtId="0" fontId="0" fillId="0" borderId="2" xfId="0" applyBorder="1"/>
    <xf numFmtId="0" fontId="1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left" vertical="top" wrapText="1"/>
    </xf>
    <xf numFmtId="0" fontId="0" fillId="0" borderId="0" xfId="0" applyFill="1" applyAlignment="1">
      <alignment wrapText="1"/>
    </xf>
    <xf numFmtId="0" fontId="8" fillId="0" borderId="0" xfId="0" applyFont="1" applyFill="1"/>
    <xf numFmtId="0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wrapText="1"/>
    </xf>
    <xf numFmtId="0" fontId="8" fillId="0" borderId="0" xfId="0" applyNumberFormat="1" applyFont="1"/>
  </cellXfs>
  <cellStyles count="1">
    <cellStyle name="Normal" xfId="0" builtinId="0"/>
  </cellStyles>
  <dxfs count="18">
    <dxf>
      <numFmt numFmtId="30" formatCode="@"/>
    </dxf>
    <dxf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6914947554610218"/>
          <c:y val="8.1770453993687792E-2"/>
          <c:w val="0.18766811150948151"/>
          <c:h val="0.817188638018936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F2E-4906-B297-48250CDAC34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F2E-4906-B297-48250CDAC341}"/>
              </c:ext>
            </c:extLst>
          </c:dPt>
          <c:dLbls>
            <c:dLbl>
              <c:idx val="0"/>
              <c:layout>
                <c:manualLayout>
                  <c:x val="-0.22926654031038884"/>
                  <c:y val="-0.5314884846623900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2E-4906-B297-48250CDAC341}"/>
                </c:ext>
              </c:extLst>
            </c:dLbl>
            <c:dLbl>
              <c:idx val="1"/>
              <c:layout>
                <c:manualLayout>
                  <c:x val="-0.22743439849883512"/>
                  <c:y val="0.4913944558946854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2E-4906-B297-48250CDAC3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Tables!$J$2:$J$3</c:f>
              <c:strCache>
                <c:ptCount val="2"/>
                <c:pt idx="0">
                  <c:v>Total Objects</c:v>
                </c:pt>
                <c:pt idx="1">
                  <c:v>Missing Objects</c:v>
                </c:pt>
              </c:strCache>
            </c:strRef>
          </c:cat>
          <c:val>
            <c:numRef>
              <c:f>Tables!$K$2:$K$3</c:f>
              <c:numCache>
                <c:formatCode>General</c:formatCode>
                <c:ptCount val="2"/>
                <c:pt idx="0">
                  <c:v>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2E-4906-B297-48250CDAC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4.0535321585537507E-2"/>
          <c:y val="0.180471731870229"/>
          <c:w val="0.3272416866240177"/>
          <c:h val="0.639056536259541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1833</xdr:colOff>
      <xdr:row>0</xdr:row>
      <xdr:rowOff>28998</xdr:rowOff>
    </xdr:from>
    <xdr:to>
      <xdr:col>13</xdr:col>
      <xdr:colOff>351664</xdr:colOff>
      <xdr:row>3</xdr:row>
      <xdr:rowOff>147925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0</xdr:row>
          <xdr:rowOff>47625</xdr:rowOff>
        </xdr:from>
        <xdr:to>
          <xdr:col>7</xdr:col>
          <xdr:colOff>0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FF"/>
                  </a:solidFill>
                  <a:latin typeface="Aptos Narrow"/>
                </a:rPr>
                <a:t>Export Json Files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2D0A982-7CA4-4729-BA5D-75512B9BDB67}" name="Table12" displayName="Table12" ref="B5:H14" totalsRowShown="0">
  <autoFilter ref="B5:H14" xr:uid="{F3B944A7-1710-498C-90D6-2ED61E1154A4}"/>
  <tableColumns count="7">
    <tableColumn id="6" xr3:uid="{17903556-7F31-44AD-B543-4466938C301F}" name="Mockup Tab Name" dataDxfId="17"/>
    <tableColumn id="1" xr3:uid="{D4A12A0E-D0CA-43F0-9C98-DF1A7844AD0F}" name="Field count" dataDxfId="16">
      <calculatedColumnFormula>COUNTIF(Table13[Table Name],Table12[[#This Row],[Table Name]])</calculatedColumnFormula>
    </tableColumn>
    <tableColumn id="5" xr3:uid="{BB9F9B7D-5263-4FC3-9A03-53FC818465DB}" name="Menu" dataDxfId="15"/>
    <tableColumn id="7" xr3:uid="{392929B5-D553-4A14-AF16-74ED2C538A20}" name="Submenu" dataDxfId="14"/>
    <tableColumn id="2" xr3:uid="{100822BD-CF36-4CF2-86C0-3BB70743FCC0}" name="Table Name"/>
    <tableColumn id="3" xr3:uid="{2305B78C-46B7-49CE-A13F-14A6F398A2BC}" name="Label"/>
    <tableColumn id="4" xr3:uid="{51D1194E-8F51-47DD-BE06-35F422BB24D5}" name="Commen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9F2E8CC-0F04-4D4C-B438-E1A3DF705A31}" name="Table13" displayName="Table13" ref="B5:O141" totalsRowShown="0">
  <autoFilter ref="B5:O141" xr:uid="{3AD7C450-89F5-4AF3-BA69-18AB0AC600E1}"/>
  <tableColumns count="14">
    <tableColumn id="2" xr3:uid="{14722B89-6874-48B4-8062-A9877D761576}" name="Table Name" dataDxfId="13"/>
    <tableColumn id="3" xr3:uid="{860AEDF1-5E14-40C3-8399-44C28D991E2E}" name="Field Name"/>
    <tableColumn id="7" xr3:uid="{A339235A-AC0A-4E64-A804-74C58F995DD0}" name="Title" dataDxfId="12"/>
    <tableColumn id="4" xr3:uid="{7E2087C6-BAF1-4CFC-B3DC-66F17E20516E}" name="type" dataDxfId="11">
      <calculatedColumnFormula>VLOOKUP(Table13[[#This Row],[Field Name]],Attributes!$A$7:$D$143,2,FALSE)</calculatedColumnFormula>
    </tableColumn>
    <tableColumn id="6" xr3:uid="{F56C7DF1-974C-43C8-90D3-56464BDF21B6}" name="defaultValue"/>
    <tableColumn id="5" xr3:uid="{293EFC06-0D32-42E6-967B-89E0DD96B788}" name="attrChoices" dataDxfId="10">
      <calculatedColumnFormula>VLOOKUP(Table13[[#This Row],[Field Name]],Attributes!$A$7:$D$143,4,FALSE)</calculatedColumnFormula>
    </tableColumn>
    <tableColumn id="12" xr3:uid="{001E3F87-AFE6-4041-9900-C7AF5EF43006}" name="Action" dataDxfId="9"/>
    <tableColumn id="13" xr3:uid="{8A1CF7BE-7739-4BD5-AECF-934E78C3D9FB}" name="After Field" dataDxfId="8"/>
    <tableColumn id="1" xr3:uid="{F8F1542F-4788-4971-B2F2-A989835998C0}" name="FK References" dataDxfId="7">
      <calculatedColumnFormula>VLOOKUP(Table13[[#This Row],[Field Name]],Table9[],5,)</calculatedColumnFormula>
    </tableColumn>
    <tableColumn id="8" xr3:uid="{05C82741-C365-46A5-9EEE-ED1650E395F4}" name="Required" dataDxfId="6"/>
    <tableColumn id="9" xr3:uid="{29D5C6A2-FE66-4E7C-9A8D-A6F5663EB90C}" name="Hidden" dataDxfId="5"/>
    <tableColumn id="10" xr3:uid="{B5128AFD-0FFA-49C7-A244-C59DC7652067}" name="ReadOnly" dataDxfId="4"/>
    <tableColumn id="11" xr3:uid="{52494362-C50E-4940-8682-687CF43CF7EA}" name="No Label" dataDxfId="3"/>
    <tableColumn id="14" xr3:uid="{69B2E296-57B8-45C4-8DC0-7DDA0AEEAFD6}" name="Title2" dataDxfId="2">
      <calculatedColumnFormula>PROPER(SUBSTITUTE(SUBSTITUTE(SUBSTITUTE(C6,"_id", ""),"rel_", ""), "_", " " 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ACD2DCB-6345-47ED-B147-1778D38921F8}" name="Table9" displayName="Table9" ref="A6:E143" totalsRowShown="0">
  <autoFilter ref="A6:E143" xr:uid="{CD190849-F630-435A-9DC4-3E7543158197}"/>
  <tableColumns count="5">
    <tableColumn id="2" xr3:uid="{BB1285FD-CD74-4873-92A8-74A1E7F9DE69}" name="attrname" dataDxfId="1"/>
    <tableColumn id="3" xr3:uid="{673B742B-372F-4303-B845-0C094F9860ED}" name="attrtype"/>
    <tableColumn id="4" xr3:uid="{BA9719E5-D635-45DE-B961-72930A057137}" name="attrdefault"/>
    <tableColumn id="5" xr3:uid="{DBF3C780-EC8D-4862-97A2-8BD0F8E20B16}" name="attrchoices" dataDxfId="0"/>
    <tableColumn id="1" xr3:uid="{5F0B4D5C-0466-424D-84D7-5F7028DE3443}" name="Referenc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82C707-01B9-43A4-A309-3344168FD1CA}" name="Table8" displayName="Table8" ref="B3:C36" totalsRowShown="0">
  <autoFilter ref="B3:C36" xr:uid="{8ABF38C1-206A-45A1-897F-DCE9E65A6260}"/>
  <tableColumns count="2">
    <tableColumn id="1" xr3:uid="{7C037A02-AEF1-4908-811A-17697F0B2616}" name="Group"/>
    <tableColumn id="2" xr3:uid="{4854D17F-DE6D-4FF7-8071-A999114A7D20}" name="Typ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9EEEC-1BB3-439F-999D-B2CC9E195BFF}" name="Table11" displayName="Table11" ref="E3:E5" totalsRowShown="0">
  <autoFilter ref="E3:E5" xr:uid="{37B2B4A9-8A70-4A10-860D-7E66E3A73805}"/>
  <tableColumns count="1">
    <tableColumn id="1" xr3:uid="{BE83CFD2-4B82-449F-83A1-7D51F2356E3A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8A7E-7E7C-4098-92B4-1CB9804EE4C5}">
  <sheetPr codeName="Sheet3"/>
  <dimension ref="B5:B34"/>
  <sheetViews>
    <sheetView tabSelected="1" topLeftCell="B1" workbookViewId="0">
      <selection activeCell="B18" sqref="B18"/>
    </sheetView>
  </sheetViews>
  <sheetFormatPr defaultColWidth="9.140625" defaultRowHeight="15" x14ac:dyDescent="0.25"/>
  <cols>
    <col min="2" max="2" width="181" bestFit="1" customWidth="1"/>
  </cols>
  <sheetData>
    <row r="5" spans="2:2" x14ac:dyDescent="0.25">
      <c r="B5" t="s">
        <v>181</v>
      </c>
    </row>
    <row r="6" spans="2:2" x14ac:dyDescent="0.25">
      <c r="B6" t="s">
        <v>199</v>
      </c>
    </row>
    <row r="7" spans="2:2" x14ac:dyDescent="0.25">
      <c r="B7" t="s">
        <v>196</v>
      </c>
    </row>
    <row r="8" spans="2:2" x14ac:dyDescent="0.25">
      <c r="B8" t="s">
        <v>283</v>
      </c>
    </row>
    <row r="9" spans="2:2" x14ac:dyDescent="0.25">
      <c r="B9" t="s">
        <v>284</v>
      </c>
    </row>
    <row r="10" spans="2:2" x14ac:dyDescent="0.25">
      <c r="B10" t="s">
        <v>299</v>
      </c>
    </row>
    <row r="11" spans="2:2" x14ac:dyDescent="0.25">
      <c r="B11" t="s">
        <v>285</v>
      </c>
    </row>
    <row r="12" spans="2:2" x14ac:dyDescent="0.25">
      <c r="B12" t="s">
        <v>286</v>
      </c>
    </row>
    <row r="13" spans="2:2" x14ac:dyDescent="0.25">
      <c r="B13" t="s">
        <v>300</v>
      </c>
    </row>
    <row r="14" spans="2:2" x14ac:dyDescent="0.25">
      <c r="B14" t="s">
        <v>287</v>
      </c>
    </row>
    <row r="15" spans="2:2" x14ac:dyDescent="0.25">
      <c r="B15" t="s">
        <v>422</v>
      </c>
    </row>
    <row r="16" spans="2:2" x14ac:dyDescent="0.25">
      <c r="B16" t="s">
        <v>301</v>
      </c>
    </row>
    <row r="17" spans="2:2" x14ac:dyDescent="0.25">
      <c r="B17" t="s">
        <v>288</v>
      </c>
    </row>
    <row r="18" spans="2:2" x14ac:dyDescent="0.25">
      <c r="B18" t="s">
        <v>289</v>
      </c>
    </row>
    <row r="19" spans="2:2" x14ac:dyDescent="0.25">
      <c r="B19" t="s">
        <v>302</v>
      </c>
    </row>
    <row r="20" spans="2:2" x14ac:dyDescent="0.25">
      <c r="B20" t="s">
        <v>290</v>
      </c>
    </row>
    <row r="21" spans="2:2" x14ac:dyDescent="0.25">
      <c r="B21" t="s">
        <v>291</v>
      </c>
    </row>
    <row r="22" spans="2:2" x14ac:dyDescent="0.25">
      <c r="B22" t="s">
        <v>303</v>
      </c>
    </row>
    <row r="23" spans="2:2" x14ac:dyDescent="0.25">
      <c r="B23" t="s">
        <v>292</v>
      </c>
    </row>
    <row r="24" spans="2:2" x14ac:dyDescent="0.25">
      <c r="B24" t="s">
        <v>293</v>
      </c>
    </row>
    <row r="25" spans="2:2" x14ac:dyDescent="0.25">
      <c r="B25" t="s">
        <v>304</v>
      </c>
    </row>
    <row r="26" spans="2:2" x14ac:dyDescent="0.25">
      <c r="B26" t="s">
        <v>294</v>
      </c>
    </row>
    <row r="27" spans="2:2" x14ac:dyDescent="0.25">
      <c r="B27" t="s">
        <v>295</v>
      </c>
    </row>
    <row r="28" spans="2:2" x14ac:dyDescent="0.25">
      <c r="B28" t="s">
        <v>305</v>
      </c>
    </row>
    <row r="29" spans="2:2" x14ac:dyDescent="0.25">
      <c r="B29" t="s">
        <v>296</v>
      </c>
    </row>
    <row r="30" spans="2:2" x14ac:dyDescent="0.25">
      <c r="B30" t="s">
        <v>297</v>
      </c>
    </row>
    <row r="31" spans="2:2" x14ac:dyDescent="0.25">
      <c r="B31" t="s">
        <v>306</v>
      </c>
    </row>
    <row r="32" spans="2:2" x14ac:dyDescent="0.25">
      <c r="B32" t="s">
        <v>182</v>
      </c>
    </row>
    <row r="33" spans="2:2" x14ac:dyDescent="0.25">
      <c r="B33" t="s">
        <v>200</v>
      </c>
    </row>
    <row r="34" spans="2:2" x14ac:dyDescent="0.25">
      <c r="B34" t="s">
        <v>197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13BA2-6EA3-4FFB-8D17-CF3E7B6CA382}">
  <sheetPr codeName="Sheet1">
    <tabColor rgb="FF00B050"/>
  </sheetPr>
  <dimension ref="B1:T74"/>
  <sheetViews>
    <sheetView zoomScaleNormal="100" workbookViewId="0">
      <selection activeCell="E25" sqref="E25"/>
    </sheetView>
  </sheetViews>
  <sheetFormatPr defaultColWidth="9" defaultRowHeight="15" x14ac:dyDescent="0.25"/>
  <cols>
    <col min="2" max="2" width="20.42578125" customWidth="1"/>
    <col min="3" max="3" width="9.5703125" style="6" customWidth="1"/>
    <col min="4" max="4" width="19.140625" style="6" customWidth="1"/>
    <col min="5" max="5" width="14.5703125" style="6" customWidth="1"/>
    <col min="6" max="6" width="26.42578125" customWidth="1"/>
    <col min="7" max="7" width="28.42578125" customWidth="1"/>
    <col min="8" max="8" width="58.42578125" customWidth="1"/>
  </cols>
  <sheetData>
    <row r="1" spans="2:20" x14ac:dyDescent="0.25">
      <c r="B1" s="7" t="s">
        <v>57</v>
      </c>
      <c r="C1" s="12" t="s">
        <v>79</v>
      </c>
      <c r="D1" s="12"/>
      <c r="E1" s="12"/>
    </row>
    <row r="2" spans="2:20" x14ac:dyDescent="0.25">
      <c r="B2" s="7" t="s">
        <v>58</v>
      </c>
      <c r="C2" s="12">
        <v>2</v>
      </c>
      <c r="D2" s="12"/>
      <c r="E2" s="12"/>
      <c r="J2" s="6" t="s">
        <v>54</v>
      </c>
      <c r="K2">
        <f>COUNT(Table12[Field count])</f>
        <v>9</v>
      </c>
    </row>
    <row r="3" spans="2:20" x14ac:dyDescent="0.25">
      <c r="J3" s="6" t="s">
        <v>55</v>
      </c>
      <c r="K3">
        <f>COUNTIF(Table12[Field count],0)</f>
        <v>0</v>
      </c>
    </row>
    <row r="4" spans="2:20" ht="14.25" customHeight="1" x14ac:dyDescent="0.3">
      <c r="B4" s="4" t="s">
        <v>89</v>
      </c>
      <c r="C4" s="9"/>
      <c r="D4" s="9"/>
      <c r="E4" s="9"/>
      <c r="S4" s="3"/>
    </row>
    <row r="5" spans="2:20" ht="14.25" customHeight="1" x14ac:dyDescent="0.25">
      <c r="B5" t="s">
        <v>0</v>
      </c>
      <c r="C5" t="s">
        <v>53</v>
      </c>
      <c r="D5" t="s">
        <v>63</v>
      </c>
      <c r="E5" t="s">
        <v>64</v>
      </c>
      <c r="F5" t="s">
        <v>75</v>
      </c>
      <c r="G5" t="s">
        <v>76</v>
      </c>
      <c r="H5" t="s">
        <v>77</v>
      </c>
      <c r="T5" s="3"/>
    </row>
    <row r="6" spans="2:20" x14ac:dyDescent="0.25">
      <c r="B6" s="6"/>
      <c r="C6" s="6">
        <f>COUNTIF(Table13[Table Name],Table12[[#This Row],[Table Name]])</f>
        <v>14</v>
      </c>
      <c r="D6" s="6" t="s">
        <v>195</v>
      </c>
      <c r="F6" t="s">
        <v>96</v>
      </c>
      <c r="G6" t="s">
        <v>144</v>
      </c>
    </row>
    <row r="7" spans="2:20" x14ac:dyDescent="0.25">
      <c r="B7" s="6"/>
      <c r="C7" s="6">
        <f>COUNTIF(Table13[Table Name],Table12[[#This Row],[Table Name]])</f>
        <v>40</v>
      </c>
      <c r="D7" s="6" t="s">
        <v>195</v>
      </c>
      <c r="F7" t="s">
        <v>209</v>
      </c>
      <c r="G7" t="s">
        <v>217</v>
      </c>
    </row>
    <row r="8" spans="2:20" x14ac:dyDescent="0.25">
      <c r="B8" s="6"/>
      <c r="C8" s="6">
        <f>COUNTIF(Table13[Table Name],Table12[[#This Row],[Table Name]])</f>
        <v>36</v>
      </c>
      <c r="D8" s="6" t="s">
        <v>298</v>
      </c>
      <c r="F8" t="s">
        <v>210</v>
      </c>
      <c r="G8" t="s">
        <v>218</v>
      </c>
    </row>
    <row r="9" spans="2:20" x14ac:dyDescent="0.25">
      <c r="B9" s="6"/>
      <c r="C9" s="6">
        <f>COUNTIF(Table13[Table Name],Table12[[#This Row],[Table Name]])</f>
        <v>4</v>
      </c>
      <c r="D9" s="6" t="s">
        <v>195</v>
      </c>
      <c r="F9" t="s">
        <v>216</v>
      </c>
      <c r="G9" t="s">
        <v>219</v>
      </c>
    </row>
    <row r="10" spans="2:20" x14ac:dyDescent="0.25">
      <c r="B10" s="6"/>
      <c r="C10" s="6">
        <f>COUNTIF(Table13[Table Name],Table12[[#This Row],[Table Name]])</f>
        <v>3</v>
      </c>
      <c r="D10" s="6" t="s">
        <v>195</v>
      </c>
      <c r="F10" t="s">
        <v>215</v>
      </c>
      <c r="G10" t="s">
        <v>220</v>
      </c>
    </row>
    <row r="11" spans="2:20" x14ac:dyDescent="0.25">
      <c r="B11" s="6"/>
      <c r="C11" s="6">
        <f>COUNTIF(Table13[Table Name],Table12[[#This Row],[Table Name]])</f>
        <v>7</v>
      </c>
      <c r="D11" s="6" t="s">
        <v>298</v>
      </c>
      <c r="F11" t="s">
        <v>211</v>
      </c>
      <c r="G11" t="s">
        <v>221</v>
      </c>
    </row>
    <row r="12" spans="2:20" x14ac:dyDescent="0.25">
      <c r="B12" s="6"/>
      <c r="C12" s="6">
        <f>COUNTIF(Table13[Table Name],Table12[[#This Row],[Table Name]])</f>
        <v>4</v>
      </c>
      <c r="D12" s="6" t="s">
        <v>195</v>
      </c>
      <c r="F12" t="s">
        <v>212</v>
      </c>
      <c r="G12" t="s">
        <v>222</v>
      </c>
    </row>
    <row r="13" spans="2:20" x14ac:dyDescent="0.25">
      <c r="B13" s="6"/>
      <c r="C13" s="6">
        <f>COUNTIF(Table13[Table Name],Table12[[#This Row],[Table Name]])</f>
        <v>4</v>
      </c>
      <c r="D13" s="6" t="s">
        <v>195</v>
      </c>
      <c r="F13" t="s">
        <v>213</v>
      </c>
      <c r="G13" t="s">
        <v>223</v>
      </c>
    </row>
    <row r="14" spans="2:20" x14ac:dyDescent="0.25">
      <c r="B14" s="6"/>
      <c r="C14" s="6">
        <f>COUNTIF(Table13[Table Name],Table12[[#This Row],[Table Name]])</f>
        <v>13</v>
      </c>
      <c r="D14" s="6" t="s">
        <v>298</v>
      </c>
      <c r="F14" t="s">
        <v>214</v>
      </c>
      <c r="G14" t="s">
        <v>224</v>
      </c>
    </row>
    <row r="15" spans="2:20" x14ac:dyDescent="0.25">
      <c r="B15" s="6"/>
    </row>
    <row r="16" spans="2:20" x14ac:dyDescent="0.25">
      <c r="B16" s="6"/>
    </row>
    <row r="17" spans="2:2" x14ac:dyDescent="0.25">
      <c r="B17" s="6"/>
    </row>
    <row r="18" spans="2:2" x14ac:dyDescent="0.25">
      <c r="B18" s="6"/>
    </row>
    <row r="19" spans="2:2" x14ac:dyDescent="0.25">
      <c r="B19" s="6"/>
    </row>
    <row r="20" spans="2:2" x14ac:dyDescent="0.25">
      <c r="B20" s="6"/>
    </row>
    <row r="21" spans="2:2" x14ac:dyDescent="0.25">
      <c r="B21" s="6"/>
    </row>
    <row r="22" spans="2:2" x14ac:dyDescent="0.25">
      <c r="B22" s="6"/>
    </row>
    <row r="23" spans="2:2" x14ac:dyDescent="0.25">
      <c r="B23" s="6"/>
    </row>
    <row r="24" spans="2:2" x14ac:dyDescent="0.25">
      <c r="B24" s="6"/>
    </row>
    <row r="25" spans="2:2" x14ac:dyDescent="0.25">
      <c r="B25" s="6"/>
    </row>
    <row r="26" spans="2:2" x14ac:dyDescent="0.25">
      <c r="B26" s="6"/>
    </row>
    <row r="27" spans="2:2" x14ac:dyDescent="0.25">
      <c r="B27" s="6"/>
    </row>
    <row r="28" spans="2:2" x14ac:dyDescent="0.25">
      <c r="B28" s="6"/>
    </row>
    <row r="29" spans="2:2" x14ac:dyDescent="0.25">
      <c r="B29" s="6"/>
    </row>
    <row r="30" spans="2:2" x14ac:dyDescent="0.25">
      <c r="B30" s="6"/>
    </row>
    <row r="31" spans="2:2" x14ac:dyDescent="0.25">
      <c r="B31" s="6"/>
    </row>
    <row r="32" spans="2:2" x14ac:dyDescent="0.25">
      <c r="B32" s="6"/>
    </row>
    <row r="33" spans="2:2" x14ac:dyDescent="0.25">
      <c r="B33" s="6"/>
    </row>
    <row r="34" spans="2:2" x14ac:dyDescent="0.25">
      <c r="B34" s="6"/>
    </row>
    <row r="35" spans="2:2" x14ac:dyDescent="0.25">
      <c r="B35" s="6"/>
    </row>
    <row r="36" spans="2:2" x14ac:dyDescent="0.25">
      <c r="B36" s="6"/>
    </row>
    <row r="37" spans="2:2" x14ac:dyDescent="0.25">
      <c r="B37" s="6"/>
    </row>
    <row r="38" spans="2:2" x14ac:dyDescent="0.25">
      <c r="B38" s="6"/>
    </row>
    <row r="39" spans="2:2" x14ac:dyDescent="0.25">
      <c r="B39" s="6"/>
    </row>
    <row r="40" spans="2:2" x14ac:dyDescent="0.25">
      <c r="B40" s="6"/>
    </row>
    <row r="41" spans="2:2" x14ac:dyDescent="0.25">
      <c r="B41" s="6"/>
    </row>
    <row r="42" spans="2:2" x14ac:dyDescent="0.25">
      <c r="B42" s="6"/>
    </row>
    <row r="43" spans="2:2" x14ac:dyDescent="0.25">
      <c r="B43" s="6"/>
    </row>
    <row r="44" spans="2:2" x14ac:dyDescent="0.25">
      <c r="B44" s="6"/>
    </row>
    <row r="45" spans="2:2" x14ac:dyDescent="0.25">
      <c r="B45" s="6"/>
    </row>
    <row r="46" spans="2:2" x14ac:dyDescent="0.25">
      <c r="B46" s="6"/>
    </row>
    <row r="47" spans="2:2" x14ac:dyDescent="0.25">
      <c r="B47" s="6"/>
    </row>
    <row r="48" spans="2:2" x14ac:dyDescent="0.25">
      <c r="B48" s="6"/>
    </row>
    <row r="49" spans="2:2" x14ac:dyDescent="0.25">
      <c r="B49" s="6"/>
    </row>
    <row r="50" spans="2:2" x14ac:dyDescent="0.25">
      <c r="B50" s="6"/>
    </row>
    <row r="51" spans="2:2" x14ac:dyDescent="0.25">
      <c r="B51" s="6"/>
    </row>
    <row r="52" spans="2:2" x14ac:dyDescent="0.25">
      <c r="B52" s="6"/>
    </row>
    <row r="53" spans="2:2" x14ac:dyDescent="0.25">
      <c r="B53" s="6"/>
    </row>
    <row r="54" spans="2:2" x14ac:dyDescent="0.25">
      <c r="B54" s="6"/>
    </row>
    <row r="55" spans="2:2" x14ac:dyDescent="0.25">
      <c r="B55" s="6"/>
    </row>
    <row r="56" spans="2:2" x14ac:dyDescent="0.25">
      <c r="B56" s="6"/>
    </row>
    <row r="57" spans="2:2" x14ac:dyDescent="0.25">
      <c r="B57" s="6"/>
    </row>
    <row r="58" spans="2:2" x14ac:dyDescent="0.25">
      <c r="B58" s="6"/>
    </row>
    <row r="59" spans="2:2" x14ac:dyDescent="0.25">
      <c r="B59" s="6"/>
    </row>
    <row r="60" spans="2:2" x14ac:dyDescent="0.25">
      <c r="B60" s="6"/>
    </row>
    <row r="61" spans="2:2" x14ac:dyDescent="0.25">
      <c r="B61" s="6"/>
    </row>
    <row r="62" spans="2:2" x14ac:dyDescent="0.25">
      <c r="B62" s="6"/>
    </row>
    <row r="63" spans="2:2" x14ac:dyDescent="0.25">
      <c r="B63" s="6"/>
    </row>
    <row r="64" spans="2:2" x14ac:dyDescent="0.25">
      <c r="B64" s="6"/>
    </row>
    <row r="65" spans="2:2" x14ac:dyDescent="0.25">
      <c r="B65" s="6"/>
    </row>
    <row r="66" spans="2:2" x14ac:dyDescent="0.25">
      <c r="B66" s="6"/>
    </row>
    <row r="67" spans="2:2" x14ac:dyDescent="0.25">
      <c r="B67" s="6"/>
    </row>
    <row r="68" spans="2:2" x14ac:dyDescent="0.25">
      <c r="B68" s="6"/>
    </row>
    <row r="69" spans="2:2" x14ac:dyDescent="0.25">
      <c r="B69" s="6"/>
    </row>
    <row r="70" spans="2:2" x14ac:dyDescent="0.25">
      <c r="B70" s="6"/>
    </row>
    <row r="71" spans="2:2" x14ac:dyDescent="0.25">
      <c r="B71" s="6"/>
    </row>
    <row r="72" spans="2:2" x14ac:dyDescent="0.25">
      <c r="B72" s="6"/>
    </row>
    <row r="73" spans="2:2" x14ac:dyDescent="0.25">
      <c r="B73" s="6"/>
    </row>
    <row r="74" spans="2:2" x14ac:dyDescent="0.25">
      <c r="B74" s="6"/>
    </row>
  </sheetData>
  <phoneticPr fontId="4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JsonAll">
                <anchor moveWithCells="1" sizeWithCells="1">
                  <from>
                    <xdr:col>6</xdr:col>
                    <xdr:colOff>847725</xdr:colOff>
                    <xdr:row>0</xdr:row>
                    <xdr:rowOff>47625</xdr:rowOff>
                  </from>
                  <to>
                    <xdr:col>7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DF3A1-B1C2-46D2-97F3-E781A8BD038D}">
  <sheetPr codeName="Sheet2">
    <tabColor rgb="FF00B050"/>
  </sheetPr>
  <dimension ref="B4:S141"/>
  <sheetViews>
    <sheetView showGridLines="0" topLeftCell="A115" zoomScaleNormal="100" workbookViewId="0">
      <selection activeCell="B130" sqref="B130"/>
    </sheetView>
  </sheetViews>
  <sheetFormatPr defaultColWidth="9" defaultRowHeight="15" customHeight="1" x14ac:dyDescent="0.25"/>
  <cols>
    <col min="2" max="2" width="19" customWidth="1"/>
    <col min="3" max="3" width="30.5703125" customWidth="1"/>
    <col min="4" max="4" width="51.28515625" bestFit="1" customWidth="1"/>
    <col min="5" max="6" width="19.140625" customWidth="1"/>
    <col min="7" max="7" width="44.28515625" style="8" customWidth="1"/>
    <col min="8" max="8" width="10.5703125" style="8" customWidth="1"/>
    <col min="9" max="9" width="26.5703125" style="8" customWidth="1"/>
    <col min="10" max="10" width="23.5703125" style="8" customWidth="1"/>
    <col min="12" max="12" width="9.42578125" style="10" customWidth="1"/>
    <col min="15" max="15" width="30.5703125" customWidth="1"/>
    <col min="17" max="17" width="9" customWidth="1"/>
  </cols>
  <sheetData>
    <row r="4" spans="2:19" ht="15" customHeight="1" x14ac:dyDescent="0.3">
      <c r="B4" s="4" t="s">
        <v>90</v>
      </c>
      <c r="Q4" s="3"/>
    </row>
    <row r="5" spans="2:19" ht="15" customHeight="1" x14ac:dyDescent="0.25">
      <c r="B5" t="s">
        <v>75</v>
      </c>
      <c r="C5" t="s">
        <v>78</v>
      </c>
      <c r="D5" t="s">
        <v>51</v>
      </c>
      <c r="E5" t="s">
        <v>50</v>
      </c>
      <c r="F5" t="s">
        <v>48</v>
      </c>
      <c r="G5" s="8" t="s">
        <v>49</v>
      </c>
      <c r="H5" s="8" t="s">
        <v>83</v>
      </c>
      <c r="I5" s="8" t="s">
        <v>84</v>
      </c>
      <c r="J5" s="8" t="s">
        <v>82</v>
      </c>
      <c r="K5" t="s">
        <v>59</v>
      </c>
      <c r="L5" s="10" t="s">
        <v>60</v>
      </c>
      <c r="M5" t="s">
        <v>61</v>
      </c>
      <c r="N5" t="s">
        <v>62</v>
      </c>
      <c r="O5" t="s">
        <v>92</v>
      </c>
      <c r="S5" s="3"/>
    </row>
    <row r="6" spans="2:19" ht="15" customHeight="1" x14ac:dyDescent="0.25">
      <c r="B6" s="6" t="s">
        <v>96</v>
      </c>
      <c r="C6" t="s">
        <v>225</v>
      </c>
      <c r="D6" t="s">
        <v>230</v>
      </c>
      <c r="E6" t="str">
        <f>VLOOKUP(Table13[[#This Row],[Field Name]],Attributes!$A$7:$D$143,2,FALSE)</f>
        <v>field_enum</v>
      </c>
      <c r="G6" s="8" t="str">
        <f>VLOOKUP(Table13[[#This Row],[Field Name]],Attributes!$A$7:$D$143,4,FALSE)</f>
        <v>[{ "label": "DNI", "value": "DNI" },{ "label": "RUC", "value": "RUC" },{ "label": "TI", "value": "TI" },{ "label": "CEDULA", "value": "CEDULA" }]</v>
      </c>
      <c r="J6" s="8">
        <f>VLOOKUP(Table13[[#This Row],[Field Name]],Table9[],5,)</f>
        <v>0</v>
      </c>
      <c r="O6" t="str">
        <f>PROPER(SUBSTITUTE(SUBSTITUTE(SUBSTITUTE(C6,"_id", ""),"rel_", ""), "_", " " ))</f>
        <v>Document Type</v>
      </c>
    </row>
    <row r="7" spans="2:19" ht="15" customHeight="1" x14ac:dyDescent="0.25">
      <c r="B7" s="6" t="s">
        <v>96</v>
      </c>
      <c r="C7" t="s">
        <v>114</v>
      </c>
      <c r="D7" t="s">
        <v>231</v>
      </c>
      <c r="E7" t="str">
        <f>VLOOKUP(Table13[[#This Row],[Field Name]],Attributes!$A$7:$D$143,2,FALSE)</f>
        <v>field_shorttext</v>
      </c>
      <c r="G7" s="14" t="str">
        <f>VLOOKUP(Table13[[#This Row],[Field Name]],Attributes!$A$7:$D$143,4,FALSE)</f>
        <v xml:space="preserve"> </v>
      </c>
      <c r="J7" s="8">
        <f>VLOOKUP(Table13[[#This Row],[Field Name]],Table9[],5,)</f>
        <v>0</v>
      </c>
      <c r="K7" t="s">
        <v>174</v>
      </c>
      <c r="O7" t="str">
        <f t="shared" ref="O7:O19" si="0">PROPER(SUBSTITUTE(SUBSTITUTE(SUBSTITUTE(C7,"_id", ""),"rel_", ""), "_", " " ))</f>
        <v>Code</v>
      </c>
    </row>
    <row r="8" spans="2:19" ht="15" customHeight="1" x14ac:dyDescent="0.25">
      <c r="B8" s="6" t="s">
        <v>96</v>
      </c>
      <c r="C8" t="s">
        <v>117</v>
      </c>
      <c r="D8" t="s">
        <v>194</v>
      </c>
      <c r="E8" t="str">
        <f>VLOOKUP(Table13[[#This Row],[Field Name]],Attributes!$A$7:$D$143,2,FALSE)</f>
        <v>field_mediumtext</v>
      </c>
      <c r="G8" s="14">
        <f>VLOOKUP(Table13[[#This Row],[Field Name]],Attributes!$A$7:$D$143,4,FALSE)</f>
        <v>0</v>
      </c>
      <c r="J8" s="8">
        <f>VLOOKUP(Table13[[#This Row],[Field Name]],Table9[],5,)</f>
        <v>0</v>
      </c>
      <c r="K8" t="s">
        <v>174</v>
      </c>
      <c r="O8" t="str">
        <f t="shared" si="0"/>
        <v>Name</v>
      </c>
    </row>
    <row r="9" spans="2:19" ht="15" customHeight="1" x14ac:dyDescent="0.25">
      <c r="B9" s="6" t="s">
        <v>96</v>
      </c>
      <c r="C9" t="s">
        <v>123</v>
      </c>
      <c r="D9" t="s">
        <v>186</v>
      </c>
      <c r="E9" t="str">
        <f>VLOOKUP(Table13[[#This Row],[Field Name]],Attributes!$A$7:$D$143,2,FALSE)</f>
        <v>field_longtext</v>
      </c>
      <c r="G9" s="14">
        <f>VLOOKUP(Table13[[#This Row],[Field Name]],Attributes!$A$7:$D$143,4,FALSE)</f>
        <v>0</v>
      </c>
      <c r="J9" s="8">
        <f>VLOOKUP(Table13[[#This Row],[Field Name]],Table9[],5,)</f>
        <v>0</v>
      </c>
      <c r="O9" t="str">
        <f t="shared" si="0"/>
        <v>Image</v>
      </c>
    </row>
    <row r="10" spans="2:19" ht="15" customHeight="1" x14ac:dyDescent="0.25">
      <c r="B10" s="6" t="s">
        <v>96</v>
      </c>
      <c r="C10" t="s">
        <v>126</v>
      </c>
      <c r="D10" t="s">
        <v>187</v>
      </c>
      <c r="E10" t="str">
        <f>VLOOKUP(Table13[[#This Row],[Field Name]],Attributes!$A$7:$D$143,2,FALSE)</f>
        <v>field_enum</v>
      </c>
      <c r="G10" s="14" t="str">
        <f>VLOOKUP(Table13[[#This Row],[Field Name]],Attributes!$A$7:$D$143,4,FALSE)</f>
        <v>[{ "label": "Masculino", "value": "Masculino" },{ "label": "Femenino", "value": "Femenino" },{ "label": "No binario", "value": "No binario" },{ "label": "Prefiero no especificar", "value": "Prefiero no especificar" }]</v>
      </c>
      <c r="J10" s="8">
        <f>VLOOKUP(Table13[[#This Row],[Field Name]],Table9[],5,)</f>
        <v>0</v>
      </c>
      <c r="K10" t="s">
        <v>174</v>
      </c>
      <c r="O10" t="str">
        <f t="shared" si="0"/>
        <v>Gender</v>
      </c>
    </row>
    <row r="11" spans="2:19" ht="15" customHeight="1" x14ac:dyDescent="0.25">
      <c r="B11" s="6" t="s">
        <v>96</v>
      </c>
      <c r="C11" t="s">
        <v>127</v>
      </c>
      <c r="D11" t="s">
        <v>188</v>
      </c>
      <c r="E11" t="str">
        <f>VLOOKUP(Table13[[#This Row],[Field Name]],Attributes!$A$7:$D$143,2,FALSE)</f>
        <v>field_enum</v>
      </c>
      <c r="G11" s="14" t="str">
        <f>VLOOKUP(Table13[[#This Row],[Field Name]],Attributes!$A$7:$D$143,4,FALSE)</f>
        <v>[{ "label": "Soltero(a)", "value": "Soltero(a)" },{ "label": "Casado(a)", "value": "Casado(a)" },{ "label": "Union Libre", "value": "Union Libre" },{ "label": "Separado(a)", "value": "Separado(a)" },{ "label": "Divorciado(a)", "value": "Divorciado(a)" },{ "label": "Viudo(a)", "value": "Viudo(a)" }]</v>
      </c>
      <c r="J11" s="8">
        <f>VLOOKUP(Table13[[#This Row],[Field Name]],Table9[],5,)</f>
        <v>0</v>
      </c>
      <c r="K11" t="s">
        <v>52</v>
      </c>
      <c r="O11" t="str">
        <f t="shared" si="0"/>
        <v>Marital Status</v>
      </c>
    </row>
    <row r="12" spans="2:19" ht="15" customHeight="1" x14ac:dyDescent="0.25">
      <c r="B12" s="6" t="s">
        <v>96</v>
      </c>
      <c r="C12" t="s">
        <v>128</v>
      </c>
      <c r="D12" t="s">
        <v>189</v>
      </c>
      <c r="E12" t="str">
        <f>VLOOKUP(Table13[[#This Row],[Field Name]],Attributes!$A$7:$D$143,2,FALSE)</f>
        <v>field_date</v>
      </c>
      <c r="G12" s="14">
        <f>VLOOKUP(Table13[[#This Row],[Field Name]],Attributes!$A$7:$D$143,4,FALSE)</f>
        <v>0</v>
      </c>
      <c r="J12" s="8">
        <f>VLOOKUP(Table13[[#This Row],[Field Name]],Table9[],5,)</f>
        <v>0</v>
      </c>
      <c r="O12" t="str">
        <f t="shared" si="0"/>
        <v>Date Of Birth</v>
      </c>
    </row>
    <row r="13" spans="2:19" ht="15" customHeight="1" x14ac:dyDescent="0.25">
      <c r="B13" s="6" t="s">
        <v>96</v>
      </c>
      <c r="C13" t="s">
        <v>136</v>
      </c>
      <c r="D13" t="s">
        <v>190</v>
      </c>
      <c r="E13" t="str">
        <f>VLOOKUP(Table13[[#This Row],[Field Name]],Attributes!$A$7:$D$143,2,FALSE)</f>
        <v>field_longtext</v>
      </c>
      <c r="G13" s="14">
        <f>VLOOKUP(Table13[[#This Row],[Field Name]],Attributes!$A$7:$D$143,4,FALSE)</f>
        <v>0</v>
      </c>
      <c r="J13" s="8">
        <f>VLOOKUP(Table13[[#This Row],[Field Name]],Table9[],5,)</f>
        <v>0</v>
      </c>
      <c r="K13" t="s">
        <v>174</v>
      </c>
      <c r="O13" t="str">
        <f t="shared" si="0"/>
        <v>Address1</v>
      </c>
    </row>
    <row r="14" spans="2:19" ht="15" customHeight="1" x14ac:dyDescent="0.25">
      <c r="B14" s="6" t="s">
        <v>96</v>
      </c>
      <c r="C14" t="s">
        <v>137</v>
      </c>
      <c r="D14" t="s">
        <v>191</v>
      </c>
      <c r="E14" t="str">
        <f>VLOOKUP(Table13[[#This Row],[Field Name]],Attributes!$A$7:$D$143,2,FALSE)</f>
        <v>field_longtext</v>
      </c>
      <c r="G14" s="14">
        <f>VLOOKUP(Table13[[#This Row],[Field Name]],Attributes!$A$7:$D$143,4,FALSE)</f>
        <v>0</v>
      </c>
      <c r="J14" s="8">
        <f>VLOOKUP(Table13[[#This Row],[Field Name]],Table9[],5,)</f>
        <v>0</v>
      </c>
      <c r="K14" t="s">
        <v>52</v>
      </c>
      <c r="O14" t="str">
        <f t="shared" si="0"/>
        <v>Address2</v>
      </c>
    </row>
    <row r="15" spans="2:19" ht="15" customHeight="1" x14ac:dyDescent="0.25">
      <c r="B15" s="6" t="s">
        <v>96</v>
      </c>
      <c r="C15" t="s">
        <v>134</v>
      </c>
      <c r="D15" t="s">
        <v>192</v>
      </c>
      <c r="E15" t="str">
        <f>VLOOKUP(Table13[[#This Row],[Field Name]],Attributes!$A$7:$D$143,2,FALSE)</f>
        <v>field_phone</v>
      </c>
      <c r="G15" s="14">
        <f>VLOOKUP(Table13[[#This Row],[Field Name]],Attributes!$A$7:$D$143,4,FALSE)</f>
        <v>0</v>
      </c>
      <c r="J15" s="8">
        <f>VLOOKUP(Table13[[#This Row],[Field Name]],Table9[],5,)</f>
        <v>0</v>
      </c>
      <c r="K15" t="s">
        <v>52</v>
      </c>
      <c r="O15" t="str">
        <f t="shared" si="0"/>
        <v>Phone</v>
      </c>
    </row>
    <row r="16" spans="2:19" ht="15" customHeight="1" x14ac:dyDescent="0.25">
      <c r="B16" s="6" t="s">
        <v>96</v>
      </c>
      <c r="C16" t="s">
        <v>226</v>
      </c>
      <c r="D16" t="s">
        <v>227</v>
      </c>
      <c r="E16" t="str">
        <f>VLOOKUP(Table13[[#This Row],[Field Name]],Attributes!$A$7:$D$143,2,FALSE)</f>
        <v>field_mediumtext</v>
      </c>
      <c r="G16" s="14">
        <f>VLOOKUP(Table13[[#This Row],[Field Name]],Attributes!$A$7:$D$143,4,FALSE)</f>
        <v>0</v>
      </c>
      <c r="J16" s="8">
        <f>VLOOKUP(Table13[[#This Row],[Field Name]],Table9[],5,)</f>
        <v>0</v>
      </c>
      <c r="K16" t="s">
        <v>174</v>
      </c>
      <c r="O16" t="str">
        <f>PROPER(SUBSTITUTE(SUBSTITUTE(SUBSTITUTE(C16,"_id", ""),"rel_", ""), "_", " " ))</f>
        <v>Cellphone</v>
      </c>
    </row>
    <row r="17" spans="2:15" ht="15" customHeight="1" x14ac:dyDescent="0.25">
      <c r="B17" s="6" t="s">
        <v>96</v>
      </c>
      <c r="C17" t="s">
        <v>135</v>
      </c>
      <c r="D17" t="s">
        <v>193</v>
      </c>
      <c r="E17" t="str">
        <f>VLOOKUP(Table13[[#This Row],[Field Name]],Attributes!$A$7:$D$143,2,FALSE)</f>
        <v>field_email</v>
      </c>
      <c r="G17" s="14">
        <f>VLOOKUP(Table13[[#This Row],[Field Name]],Attributes!$A$7:$D$143,4,FALSE)</f>
        <v>0</v>
      </c>
      <c r="J17" s="8">
        <f>VLOOKUP(Table13[[#This Row],[Field Name]],Table9[],5,)</f>
        <v>0</v>
      </c>
      <c r="K17" t="s">
        <v>174</v>
      </c>
      <c r="O17" t="str">
        <f t="shared" si="0"/>
        <v>Email</v>
      </c>
    </row>
    <row r="18" spans="2:15" ht="15" customHeight="1" x14ac:dyDescent="0.25">
      <c r="B18" s="6" t="s">
        <v>96</v>
      </c>
      <c r="C18" t="s">
        <v>228</v>
      </c>
      <c r="D18" t="s">
        <v>229</v>
      </c>
      <c r="E18" t="str">
        <f>VLOOKUP(Table13[[#This Row],[Field Name]],Attributes!$A$7:$D$143,2,FALSE)</f>
        <v>field_mediumtext</v>
      </c>
      <c r="G18" s="14">
        <f>VLOOKUP(Table13[[#This Row],[Field Name]],Attributes!$A$7:$D$143,4,FALSE)</f>
        <v>0</v>
      </c>
      <c r="J18" s="8">
        <f>VLOOKUP(Table13[[#This Row],[Field Name]],Table9[],5,)</f>
        <v>0</v>
      </c>
      <c r="K18" t="s">
        <v>174</v>
      </c>
      <c r="O18" t="str">
        <f>PROPER(SUBSTITUTE(SUBSTITUTE(SUBSTITUTE(C18,"_id", ""),"rel_", ""), "_", " " ))</f>
        <v>Job Title</v>
      </c>
    </row>
    <row r="19" spans="2:15" ht="15" customHeight="1" x14ac:dyDescent="0.25">
      <c r="B19" s="6" t="s">
        <v>96</v>
      </c>
      <c r="C19" t="s">
        <v>119</v>
      </c>
      <c r="D19" t="s">
        <v>185</v>
      </c>
      <c r="E19" t="str">
        <f>VLOOKUP(Table13[[#This Row],[Field Name]],Attributes!$A$7:$D$143,2,FALSE)</f>
        <v>field_boolean</v>
      </c>
      <c r="F19">
        <v>1</v>
      </c>
      <c r="G19" s="14">
        <f>VLOOKUP(Table13[[#This Row],[Field Name]],Attributes!$A$7:$D$143,4,FALSE)</f>
        <v>0</v>
      </c>
      <c r="J19" s="8">
        <f>VLOOKUP(Table13[[#This Row],[Field Name]],Table9[],5,)</f>
        <v>0</v>
      </c>
      <c r="K19" t="s">
        <v>174</v>
      </c>
      <c r="O19" t="str">
        <f t="shared" si="0"/>
        <v>Status</v>
      </c>
    </row>
    <row r="20" spans="2:15" ht="15" customHeight="1" x14ac:dyDescent="0.25">
      <c r="B20" s="6" t="s">
        <v>209</v>
      </c>
      <c r="C20" t="s">
        <v>225</v>
      </c>
      <c r="D20" t="s">
        <v>230</v>
      </c>
      <c r="E20" t="str">
        <f>VLOOKUP(Table13[[#This Row],[Field Name]],Attributes!$A$7:$D$143,2,FALSE)</f>
        <v>field_enum</v>
      </c>
      <c r="G20" s="14" t="str">
        <f>VLOOKUP(Table13[[#This Row],[Field Name]],Attributes!$A$7:$D$143,4,FALSE)</f>
        <v>[{ "label": "DNI", "value": "DNI" },{ "label": "RUC", "value": "RUC" },{ "label": "TI", "value": "TI" },{ "label": "CEDULA", "value": "CEDULA" }]</v>
      </c>
      <c r="J20" s="8">
        <f>VLOOKUP(Table13[[#This Row],[Field Name]],Table9[],5,)</f>
        <v>0</v>
      </c>
      <c r="O20" t="str">
        <f>PROPER(SUBSTITUTE(SUBSTITUTE(SUBSTITUTE(C20,"_id", ""),"rel_", ""), "_", " " ))</f>
        <v>Document Type</v>
      </c>
    </row>
    <row r="21" spans="2:15" ht="15" customHeight="1" x14ac:dyDescent="0.25">
      <c r="B21" s="6" t="s">
        <v>209</v>
      </c>
      <c r="C21" t="s">
        <v>114</v>
      </c>
      <c r="D21" t="s">
        <v>231</v>
      </c>
      <c r="E21" t="str">
        <f>VLOOKUP(Table13[[#This Row],[Field Name]],Attributes!$A$7:$D$143,2,FALSE)</f>
        <v>field_shorttext</v>
      </c>
      <c r="G21" s="14" t="str">
        <f>VLOOKUP(Table13[[#This Row],[Field Name]],Attributes!$A$7:$D$143,4,FALSE)</f>
        <v xml:space="preserve"> </v>
      </c>
      <c r="J21" s="8">
        <f>VLOOKUP(Table13[[#This Row],[Field Name]],Table9[],5,)</f>
        <v>0</v>
      </c>
      <c r="K21" t="s">
        <v>174</v>
      </c>
      <c r="O21" t="str">
        <f t="shared" ref="O21:O29" si="1">PROPER(SUBSTITUTE(SUBSTITUTE(SUBSTITUTE(C21,"_id", ""),"rel_", ""), "_", " " ))</f>
        <v>Code</v>
      </c>
    </row>
    <row r="22" spans="2:15" ht="15" customHeight="1" x14ac:dyDescent="0.25">
      <c r="B22" s="6" t="s">
        <v>209</v>
      </c>
      <c r="C22" t="s">
        <v>117</v>
      </c>
      <c r="D22" t="s">
        <v>194</v>
      </c>
      <c r="E22" t="str">
        <f>VLOOKUP(Table13[[#This Row],[Field Name]],Attributes!$A$7:$D$143,2,FALSE)</f>
        <v>field_mediumtext</v>
      </c>
      <c r="G22" s="14">
        <f>VLOOKUP(Table13[[#This Row],[Field Name]],Attributes!$A$7:$D$143,4,FALSE)</f>
        <v>0</v>
      </c>
      <c r="J22" s="8">
        <f>VLOOKUP(Table13[[#This Row],[Field Name]],Table9[],5,)</f>
        <v>0</v>
      </c>
      <c r="K22" t="s">
        <v>174</v>
      </c>
      <c r="O22" t="str">
        <f t="shared" si="1"/>
        <v>Name</v>
      </c>
    </row>
    <row r="23" spans="2:15" ht="15" customHeight="1" x14ac:dyDescent="0.25">
      <c r="B23" s="6" t="s">
        <v>209</v>
      </c>
      <c r="C23" t="s">
        <v>123</v>
      </c>
      <c r="D23" t="s">
        <v>186</v>
      </c>
      <c r="E23" t="str">
        <f>VLOOKUP(Table13[[#This Row],[Field Name]],Attributes!$A$7:$D$143,2,FALSE)</f>
        <v>field_longtext</v>
      </c>
      <c r="G23" s="14">
        <f>VLOOKUP(Table13[[#This Row],[Field Name]],Attributes!$A$7:$D$143,4,FALSE)</f>
        <v>0</v>
      </c>
      <c r="J23" s="8">
        <f>VLOOKUP(Table13[[#This Row],[Field Name]],Table9[],5,)</f>
        <v>0</v>
      </c>
      <c r="O23" t="str">
        <f t="shared" si="1"/>
        <v>Image</v>
      </c>
    </row>
    <row r="24" spans="2:15" ht="15" customHeight="1" x14ac:dyDescent="0.25">
      <c r="B24" s="6" t="s">
        <v>209</v>
      </c>
      <c r="C24" t="s">
        <v>126</v>
      </c>
      <c r="D24" t="s">
        <v>187</v>
      </c>
      <c r="E24" t="str">
        <f>VLOOKUP(Table13[[#This Row],[Field Name]],Attributes!$A$7:$D$143,2,FALSE)</f>
        <v>field_enum</v>
      </c>
      <c r="G24" s="14" t="str">
        <f>VLOOKUP(Table13[[#This Row],[Field Name]],Attributes!$A$7:$D$143,4,FALSE)</f>
        <v>[{ "label": "Masculino", "value": "Masculino" },{ "label": "Femenino", "value": "Femenino" },{ "label": "No binario", "value": "No binario" },{ "label": "Prefiero no especificar", "value": "Prefiero no especificar" }]</v>
      </c>
      <c r="J24" s="8">
        <f>VLOOKUP(Table13[[#This Row],[Field Name]],Table9[],5,)</f>
        <v>0</v>
      </c>
      <c r="K24" t="s">
        <v>174</v>
      </c>
      <c r="O24" t="str">
        <f t="shared" si="1"/>
        <v>Gender</v>
      </c>
    </row>
    <row r="25" spans="2:15" ht="15" customHeight="1" x14ac:dyDescent="0.25">
      <c r="B25" s="6" t="s">
        <v>209</v>
      </c>
      <c r="C25" t="s">
        <v>127</v>
      </c>
      <c r="D25" t="s">
        <v>188</v>
      </c>
      <c r="E25" t="str">
        <f>VLOOKUP(Table13[[#This Row],[Field Name]],Attributes!$A$7:$D$143,2,FALSE)</f>
        <v>field_enum</v>
      </c>
      <c r="G25" s="14" t="str">
        <f>VLOOKUP(Table13[[#This Row],[Field Name]],Attributes!$A$7:$D$143,4,FALSE)</f>
        <v>[{ "label": "Soltero(a)", "value": "Soltero(a)" },{ "label": "Casado(a)", "value": "Casado(a)" },{ "label": "Union Libre", "value": "Union Libre" },{ "label": "Separado(a)", "value": "Separado(a)" },{ "label": "Divorciado(a)", "value": "Divorciado(a)" },{ "label": "Viudo(a)", "value": "Viudo(a)" }]</v>
      </c>
      <c r="J25" s="8">
        <f>VLOOKUP(Table13[[#This Row],[Field Name]],Table9[],5,)</f>
        <v>0</v>
      </c>
      <c r="O25" t="str">
        <f t="shared" si="1"/>
        <v>Marital Status</v>
      </c>
    </row>
    <row r="26" spans="2:15" ht="15" customHeight="1" x14ac:dyDescent="0.25">
      <c r="B26" s="6" t="s">
        <v>209</v>
      </c>
      <c r="C26" t="s">
        <v>128</v>
      </c>
      <c r="D26" t="s">
        <v>189</v>
      </c>
      <c r="E26" t="str">
        <f>VLOOKUP(Table13[[#This Row],[Field Name]],Attributes!$A$7:$D$143,2,FALSE)</f>
        <v>field_date</v>
      </c>
      <c r="G26" s="14">
        <f>VLOOKUP(Table13[[#This Row],[Field Name]],Attributes!$A$7:$D$143,4,FALSE)</f>
        <v>0</v>
      </c>
      <c r="J26" s="8">
        <f>VLOOKUP(Table13[[#This Row],[Field Name]],Table9[],5,)</f>
        <v>0</v>
      </c>
      <c r="O26" t="str">
        <f t="shared" si="1"/>
        <v>Date Of Birth</v>
      </c>
    </row>
    <row r="27" spans="2:15" ht="15" customHeight="1" x14ac:dyDescent="0.25">
      <c r="B27" s="6" t="s">
        <v>209</v>
      </c>
      <c r="C27" t="s">
        <v>136</v>
      </c>
      <c r="D27" t="s">
        <v>190</v>
      </c>
      <c r="E27" t="str">
        <f>VLOOKUP(Table13[[#This Row],[Field Name]],Attributes!$A$7:$D$143,2,FALSE)</f>
        <v>field_longtext</v>
      </c>
      <c r="G27" s="14">
        <f>VLOOKUP(Table13[[#This Row],[Field Name]],Attributes!$A$7:$D$143,4,FALSE)</f>
        <v>0</v>
      </c>
      <c r="J27" s="8">
        <f>VLOOKUP(Table13[[#This Row],[Field Name]],Table9[],5,)</f>
        <v>0</v>
      </c>
      <c r="K27" t="s">
        <v>174</v>
      </c>
      <c r="O27" t="str">
        <f t="shared" si="1"/>
        <v>Address1</v>
      </c>
    </row>
    <row r="28" spans="2:15" ht="15" customHeight="1" x14ac:dyDescent="0.25">
      <c r="B28" s="6" t="s">
        <v>209</v>
      </c>
      <c r="C28" t="s">
        <v>137</v>
      </c>
      <c r="D28" t="s">
        <v>191</v>
      </c>
      <c r="E28" t="str">
        <f>VLOOKUP(Table13[[#This Row],[Field Name]],Attributes!$A$7:$D$143,2,FALSE)</f>
        <v>field_longtext</v>
      </c>
      <c r="G28" s="14">
        <f>VLOOKUP(Table13[[#This Row],[Field Name]],Attributes!$A$7:$D$143,4,FALSE)</f>
        <v>0</v>
      </c>
      <c r="J28" s="8">
        <f>VLOOKUP(Table13[[#This Row],[Field Name]],Table9[],5,)</f>
        <v>0</v>
      </c>
      <c r="O28" t="str">
        <f t="shared" si="1"/>
        <v>Address2</v>
      </c>
    </row>
    <row r="29" spans="2:15" ht="15" customHeight="1" x14ac:dyDescent="0.25">
      <c r="B29" s="6" t="s">
        <v>209</v>
      </c>
      <c r="C29" t="s">
        <v>134</v>
      </c>
      <c r="D29" t="s">
        <v>192</v>
      </c>
      <c r="E29" t="str">
        <f>VLOOKUP(Table13[[#This Row],[Field Name]],Attributes!$A$7:$D$143,2,FALSE)</f>
        <v>field_phone</v>
      </c>
      <c r="G29" s="14">
        <f>VLOOKUP(Table13[[#This Row],[Field Name]],Attributes!$A$7:$D$143,4,FALSE)</f>
        <v>0</v>
      </c>
      <c r="J29" s="8">
        <f>VLOOKUP(Table13[[#This Row],[Field Name]],Table9[],5,)</f>
        <v>0</v>
      </c>
      <c r="O29" t="str">
        <f t="shared" si="1"/>
        <v>Phone</v>
      </c>
    </row>
    <row r="30" spans="2:15" ht="15" customHeight="1" x14ac:dyDescent="0.25">
      <c r="B30" s="6" t="s">
        <v>209</v>
      </c>
      <c r="C30" t="s">
        <v>226</v>
      </c>
      <c r="D30" t="s">
        <v>227</v>
      </c>
      <c r="E30" t="str">
        <f>VLOOKUP(Table13[[#This Row],[Field Name]],Attributes!$A$7:$D$143,2,FALSE)</f>
        <v>field_mediumtext</v>
      </c>
      <c r="G30" s="14">
        <f>VLOOKUP(Table13[[#This Row],[Field Name]],Attributes!$A$7:$D$143,4,FALSE)</f>
        <v>0</v>
      </c>
      <c r="J30" s="8">
        <f>VLOOKUP(Table13[[#This Row],[Field Name]],Table9[],5,)</f>
        <v>0</v>
      </c>
      <c r="K30" t="s">
        <v>174</v>
      </c>
      <c r="O30" t="str">
        <f t="shared" ref="O30:O31" si="2">PROPER(SUBSTITUTE(SUBSTITUTE(SUBSTITUTE(C30,"_id", ""),"rel_", ""), "_", " " ))</f>
        <v>Cellphone</v>
      </c>
    </row>
    <row r="31" spans="2:15" ht="15" customHeight="1" x14ac:dyDescent="0.25">
      <c r="B31" s="6" t="s">
        <v>209</v>
      </c>
      <c r="C31" t="s">
        <v>135</v>
      </c>
      <c r="D31" t="s">
        <v>193</v>
      </c>
      <c r="E31" t="str">
        <f>VLOOKUP(Table13[[#This Row],[Field Name]],Attributes!$A$7:$D$143,2,FALSE)</f>
        <v>field_email</v>
      </c>
      <c r="G31" s="14">
        <f>VLOOKUP(Table13[[#This Row],[Field Name]],Attributes!$A$7:$D$143,4,FALSE)</f>
        <v>0</v>
      </c>
      <c r="J31" s="8">
        <f>VLOOKUP(Table13[[#This Row],[Field Name]],Table9[],5,)</f>
        <v>0</v>
      </c>
      <c r="K31" t="s">
        <v>174</v>
      </c>
      <c r="O31" t="str">
        <f t="shared" si="2"/>
        <v>Email</v>
      </c>
    </row>
    <row r="32" spans="2:15" ht="15" customHeight="1" x14ac:dyDescent="0.25">
      <c r="B32" s="6" t="s">
        <v>209</v>
      </c>
      <c r="C32" t="s">
        <v>228</v>
      </c>
      <c r="D32" t="s">
        <v>232</v>
      </c>
      <c r="E32" t="str">
        <f>VLOOKUP(Table13[[#This Row],[Field Name]],Attributes!$A$7:$D$143,2,FALSE)</f>
        <v>field_mediumtext</v>
      </c>
      <c r="G32" s="14">
        <f>VLOOKUP(Table13[[#This Row],[Field Name]],Attributes!$A$7:$D$143,4,FALSE)</f>
        <v>0</v>
      </c>
      <c r="J32" s="8">
        <f>VLOOKUP(Table13[[#This Row],[Field Name]],Table9[],5,)</f>
        <v>0</v>
      </c>
      <c r="O32" t="str">
        <f t="shared" ref="O32:O52" si="3">PROPER(SUBSTITUTE(SUBSTITUTE(SUBSTITUTE(C32,"_id", ""),"rel_", ""), "_", " " ))</f>
        <v>Job Title</v>
      </c>
    </row>
    <row r="33" spans="2:15" ht="15" customHeight="1" x14ac:dyDescent="0.25">
      <c r="B33" s="6" t="s">
        <v>209</v>
      </c>
      <c r="C33" t="s">
        <v>233</v>
      </c>
      <c r="D33" t="s">
        <v>234</v>
      </c>
      <c r="E33" t="str">
        <f>VLOOKUP(Table13[[#This Row],[Field Name]],Attributes!$A$7:$D$143,2,FALSE)</f>
        <v>field_mediumtext</v>
      </c>
      <c r="G33" s="14">
        <f>VLOOKUP(Table13[[#This Row],[Field Name]],Attributes!$A$7:$D$143,4,FALSE)</f>
        <v>0</v>
      </c>
      <c r="J33" s="8">
        <f>VLOOKUP(Table13[[#This Row],[Field Name]],Table9[],5,)</f>
        <v>0</v>
      </c>
      <c r="K33" t="s">
        <v>174</v>
      </c>
      <c r="O33" t="str">
        <f t="shared" si="3"/>
        <v>Health Insurance</v>
      </c>
    </row>
    <row r="34" spans="2:15" ht="15" customHeight="1" x14ac:dyDescent="0.25">
      <c r="B34" s="6" t="s">
        <v>209</v>
      </c>
      <c r="C34" t="s">
        <v>235</v>
      </c>
      <c r="D34" t="s">
        <v>236</v>
      </c>
      <c r="E34" t="str">
        <f>VLOOKUP(Table13[[#This Row],[Field Name]],Attributes!$A$7:$D$143,2,FALSE)</f>
        <v>field_mediumtext</v>
      </c>
      <c r="G34" s="14">
        <f>VLOOKUP(Table13[[#This Row],[Field Name]],Attributes!$A$7:$D$143,4,FALSE)</f>
        <v>0</v>
      </c>
      <c r="J34" s="8">
        <f>VLOOKUP(Table13[[#This Row],[Field Name]],Table9[],5,)</f>
        <v>0</v>
      </c>
      <c r="K34" t="s">
        <v>52</v>
      </c>
      <c r="O34" t="str">
        <f t="shared" si="3"/>
        <v>Level Of Education</v>
      </c>
    </row>
    <row r="35" spans="2:15" ht="15" customHeight="1" x14ac:dyDescent="0.25">
      <c r="B35" s="6" t="s">
        <v>209</v>
      </c>
      <c r="C35" t="s">
        <v>237</v>
      </c>
      <c r="D35" t="s">
        <v>240</v>
      </c>
      <c r="E35" t="str">
        <f>VLOOKUP(Table13[[#This Row],[Field Name]],Attributes!$A$7:$D$143,2,FALSE)</f>
        <v>field_date</v>
      </c>
      <c r="G35" s="14">
        <f>VLOOKUP(Table13[[#This Row],[Field Name]],Attributes!$A$7:$D$143,4,FALSE)</f>
        <v>0</v>
      </c>
      <c r="J35" s="8">
        <f>VLOOKUP(Table13[[#This Row],[Field Name]],Table9[],5,)</f>
        <v>0</v>
      </c>
      <c r="K35" t="s">
        <v>174</v>
      </c>
      <c r="O35" t="str">
        <f t="shared" si="3"/>
        <v>Admission Date</v>
      </c>
    </row>
    <row r="36" spans="2:15" ht="15" customHeight="1" x14ac:dyDescent="0.25">
      <c r="B36" s="6" t="s">
        <v>209</v>
      </c>
      <c r="C36" t="s">
        <v>238</v>
      </c>
      <c r="D36" t="s">
        <v>241</v>
      </c>
      <c r="E36" t="str">
        <f>VLOOKUP(Table13[[#This Row],[Field Name]],Attributes!$A$7:$D$143,2,FALSE)</f>
        <v>field_date</v>
      </c>
      <c r="G36" s="14">
        <f>VLOOKUP(Table13[[#This Row],[Field Name]],Attributes!$A$7:$D$143,4,FALSE)</f>
        <v>0</v>
      </c>
      <c r="J36" s="8">
        <f>VLOOKUP(Table13[[#This Row],[Field Name]],Table9[],5,)</f>
        <v>0</v>
      </c>
      <c r="O36" t="str">
        <f t="shared" si="3"/>
        <v>Second Date</v>
      </c>
    </row>
    <row r="37" spans="2:15" ht="15" customHeight="1" x14ac:dyDescent="0.25">
      <c r="B37" s="6" t="s">
        <v>209</v>
      </c>
      <c r="C37" t="s">
        <v>239</v>
      </c>
      <c r="D37" t="s">
        <v>242</v>
      </c>
      <c r="E37" t="str">
        <f>VLOOKUP(Table13[[#This Row],[Field Name]],Attributes!$A$7:$D$143,2,FALSE)</f>
        <v>field_date</v>
      </c>
      <c r="G37" s="14">
        <f>VLOOKUP(Table13[[#This Row],[Field Name]],Attributes!$A$7:$D$143,4,FALSE)</f>
        <v>0</v>
      </c>
      <c r="J37" s="8">
        <f>VLOOKUP(Table13[[#This Row],[Field Name]],Table9[],5,)</f>
        <v>0</v>
      </c>
      <c r="O37" t="str">
        <f t="shared" si="3"/>
        <v>Third Date</v>
      </c>
    </row>
    <row r="38" spans="2:15" ht="15" customHeight="1" x14ac:dyDescent="0.25">
      <c r="B38" s="6" t="s">
        <v>209</v>
      </c>
      <c r="C38" t="s">
        <v>243</v>
      </c>
      <c r="D38" t="s">
        <v>244</v>
      </c>
      <c r="E38" t="str">
        <f>VLOOKUP(Table13[[#This Row],[Field Name]],Attributes!$A$7:$D$143,2,FALSE)</f>
        <v>field_mediumtext</v>
      </c>
      <c r="G38" s="14">
        <f>VLOOKUP(Table13[[#This Row],[Field Name]],Attributes!$A$7:$D$143,4,FALSE)</f>
        <v>0</v>
      </c>
      <c r="J38" s="8">
        <f>VLOOKUP(Table13[[#This Row],[Field Name]],Table9[],5,)</f>
        <v>0</v>
      </c>
      <c r="K38" t="s">
        <v>174</v>
      </c>
      <c r="O38" t="str">
        <f t="shared" si="3"/>
        <v>Responsible Adult</v>
      </c>
    </row>
    <row r="39" spans="2:15" ht="15" customHeight="1" x14ac:dyDescent="0.25">
      <c r="B39" s="6" t="s">
        <v>209</v>
      </c>
      <c r="C39" t="s">
        <v>246</v>
      </c>
      <c r="D39" t="s">
        <v>245</v>
      </c>
      <c r="E39" t="str">
        <f>VLOOKUP(Table13[[#This Row],[Field Name]],Attributes!$A$7:$D$143,2,FALSE)</f>
        <v>field_mediumtext</v>
      </c>
      <c r="G39" s="14">
        <f>VLOOKUP(Table13[[#This Row],[Field Name]],Attributes!$A$7:$D$143,4,FALSE)</f>
        <v>0</v>
      </c>
      <c r="J39" s="8">
        <f>VLOOKUP(Table13[[#This Row],[Field Name]],Table9[],5,)</f>
        <v>0</v>
      </c>
      <c r="O39" t="str">
        <f t="shared" si="3"/>
        <v>Responsible Adult Code</v>
      </c>
    </row>
    <row r="40" spans="2:15" ht="15" customHeight="1" x14ac:dyDescent="0.25">
      <c r="B40" s="6" t="s">
        <v>209</v>
      </c>
      <c r="C40" t="s">
        <v>247</v>
      </c>
      <c r="D40" t="s">
        <v>248</v>
      </c>
      <c r="E40" t="str">
        <f>VLOOKUP(Table13[[#This Row],[Field Name]],Attributes!$A$7:$D$143,2,FALSE)</f>
        <v>field_mediumtext</v>
      </c>
      <c r="G40" s="14">
        <f>VLOOKUP(Table13[[#This Row],[Field Name]],Attributes!$A$7:$D$143,4,FALSE)</f>
        <v>0</v>
      </c>
      <c r="J40" s="8">
        <f>VLOOKUP(Table13[[#This Row],[Field Name]],Table9[],5,)</f>
        <v>0</v>
      </c>
      <c r="O40" t="str">
        <f t="shared" si="3"/>
        <v>Relationship</v>
      </c>
    </row>
    <row r="41" spans="2:15" ht="15" customHeight="1" x14ac:dyDescent="0.25">
      <c r="B41" s="6" t="s">
        <v>209</v>
      </c>
      <c r="C41" t="s">
        <v>307</v>
      </c>
      <c r="D41" t="s">
        <v>192</v>
      </c>
      <c r="E41" t="str">
        <f>VLOOKUP(Table13[[#This Row],[Field Name]],Attributes!$A$7:$D$143,2,FALSE)</f>
        <v>field_mediumtext</v>
      </c>
      <c r="G41" s="14">
        <f>VLOOKUP(Table13[[#This Row],[Field Name]],Attributes!$A$7:$D$143,4,FALSE)</f>
        <v>0</v>
      </c>
      <c r="J41" s="8">
        <f>VLOOKUP(Table13[[#This Row],[Field Name]],Table9[],5,)</f>
        <v>0</v>
      </c>
      <c r="O41" t="str">
        <f t="shared" si="3"/>
        <v>Responsible Adult Phone</v>
      </c>
    </row>
    <row r="42" spans="2:15" ht="15" customHeight="1" x14ac:dyDescent="0.25">
      <c r="B42" s="6" t="s">
        <v>209</v>
      </c>
      <c r="C42" t="s">
        <v>308</v>
      </c>
      <c r="D42" t="s">
        <v>227</v>
      </c>
      <c r="E42" t="str">
        <f>VLOOKUP(Table13[[#This Row],[Field Name]],Attributes!$A$7:$D$143,2,FALSE)</f>
        <v>field_mediumtext</v>
      </c>
      <c r="G42" s="14">
        <f>VLOOKUP(Table13[[#This Row],[Field Name]],Attributes!$A$7:$D$143,4,FALSE)</f>
        <v>0</v>
      </c>
      <c r="J42" s="8">
        <f>VLOOKUP(Table13[[#This Row],[Field Name]],Table9[],5,)</f>
        <v>0</v>
      </c>
      <c r="O42" t="str">
        <f t="shared" si="3"/>
        <v>Responsible Adult Cellphone</v>
      </c>
    </row>
    <row r="43" spans="2:15" ht="15" customHeight="1" x14ac:dyDescent="0.25">
      <c r="B43" s="6" t="s">
        <v>209</v>
      </c>
      <c r="C43" t="s">
        <v>249</v>
      </c>
      <c r="D43" t="s">
        <v>250</v>
      </c>
      <c r="E43" t="str">
        <f>VLOOKUP(Table13[[#This Row],[Field Name]],Attributes!$A$7:$D$143,2,FALSE)</f>
        <v>field_fk</v>
      </c>
      <c r="G43" s="14">
        <f>VLOOKUP(Table13[[#This Row],[Field Name]],Attributes!$A$7:$D$143,4,FALSE)</f>
        <v>0</v>
      </c>
      <c r="J43" s="8" t="str">
        <f>VLOOKUP(Table13[[#This Row],[Field Name]],Table9[],5,)</f>
        <v>drugs</v>
      </c>
      <c r="O43" t="str">
        <f t="shared" si="3"/>
        <v>Drug</v>
      </c>
    </row>
    <row r="44" spans="2:15" ht="15" customHeight="1" x14ac:dyDescent="0.25">
      <c r="B44" s="6" t="s">
        <v>209</v>
      </c>
      <c r="C44" t="s">
        <v>251</v>
      </c>
      <c r="D44" t="s">
        <v>309</v>
      </c>
      <c r="E44" t="str">
        <f>VLOOKUP(Table13[[#This Row],[Field Name]],Attributes!$A$7:$D$143,2,FALSE)</f>
        <v>field_xlongtext</v>
      </c>
      <c r="G44" s="14">
        <f>VLOOKUP(Table13[[#This Row],[Field Name]],Attributes!$A$7:$D$143,4,FALSE)</f>
        <v>0</v>
      </c>
      <c r="J44" s="8">
        <f>VLOOKUP(Table13[[#This Row],[Field Name]],Table9[],5,)</f>
        <v>0</v>
      </c>
      <c r="O44" t="str">
        <f t="shared" si="3"/>
        <v>Orientation</v>
      </c>
    </row>
    <row r="45" spans="2:15" ht="15" customHeight="1" x14ac:dyDescent="0.25">
      <c r="B45" s="6" t="s">
        <v>209</v>
      </c>
      <c r="C45" t="s">
        <v>252</v>
      </c>
      <c r="D45" t="s">
        <v>253</v>
      </c>
      <c r="E45" t="str">
        <f>VLOOKUP(Table13[[#This Row],[Field Name]],Attributes!$A$7:$D$143,2,FALSE)</f>
        <v>field_longtext</v>
      </c>
      <c r="G45" s="14">
        <f>VLOOKUP(Table13[[#This Row],[Field Name]],Attributes!$A$7:$D$143,4,FALSE)</f>
        <v>0</v>
      </c>
      <c r="J45" s="8">
        <f>VLOOKUP(Table13[[#This Row],[Field Name]],Table9[],5,)</f>
        <v>0</v>
      </c>
      <c r="O45" t="str">
        <f t="shared" si="3"/>
        <v>Body Language</v>
      </c>
    </row>
    <row r="46" spans="2:15" ht="15" customHeight="1" x14ac:dyDescent="0.25">
      <c r="B46" s="6" t="s">
        <v>209</v>
      </c>
      <c r="C46" t="s">
        <v>254</v>
      </c>
      <c r="D46" t="s">
        <v>256</v>
      </c>
      <c r="E46" t="str">
        <f>VLOOKUP(Table13[[#This Row],[Field Name]],Attributes!$A$7:$D$143,2,FALSE)</f>
        <v>field_longtext</v>
      </c>
      <c r="G46" s="14">
        <f>VLOOKUP(Table13[[#This Row],[Field Name]],Attributes!$A$7:$D$143,4,FALSE)</f>
        <v>0</v>
      </c>
      <c r="J46" s="8">
        <f>VLOOKUP(Table13[[#This Row],[Field Name]],Table9[],5,)</f>
        <v>0</v>
      </c>
      <c r="O46" t="str">
        <f t="shared" si="3"/>
        <v>Ideation</v>
      </c>
    </row>
    <row r="47" spans="2:15" ht="15" customHeight="1" x14ac:dyDescent="0.25">
      <c r="B47" s="6" t="s">
        <v>209</v>
      </c>
      <c r="C47" t="s">
        <v>255</v>
      </c>
      <c r="D47" t="s">
        <v>257</v>
      </c>
      <c r="E47" t="str">
        <f>VLOOKUP(Table13[[#This Row],[Field Name]],Attributes!$A$7:$D$143,2,FALSE)</f>
        <v>field_longtext</v>
      </c>
      <c r="G47" s="14">
        <f>VLOOKUP(Table13[[#This Row],[Field Name]],Attributes!$A$7:$D$143,4,FALSE)</f>
        <v>0</v>
      </c>
      <c r="J47" s="8">
        <f>VLOOKUP(Table13[[#This Row],[Field Name]],Table9[],5,)</f>
        <v>0</v>
      </c>
      <c r="O47" t="str">
        <f t="shared" si="3"/>
        <v>Delusions</v>
      </c>
    </row>
    <row r="48" spans="2:15" ht="15" customHeight="1" x14ac:dyDescent="0.25">
      <c r="B48" s="6" t="s">
        <v>209</v>
      </c>
      <c r="C48" t="s">
        <v>259</v>
      </c>
      <c r="D48" t="s">
        <v>258</v>
      </c>
      <c r="E48" t="str">
        <f>VLOOKUP(Table13[[#This Row],[Field Name]],Attributes!$A$7:$D$143,2,FALSE)</f>
        <v>field_longtext</v>
      </c>
      <c r="G48" s="14">
        <f>VLOOKUP(Table13[[#This Row],[Field Name]],Attributes!$A$7:$D$143,4,FALSE)</f>
        <v>0</v>
      </c>
      <c r="J48" s="8">
        <f>VLOOKUP(Table13[[#This Row],[Field Name]],Table9[],5,)</f>
        <v>0</v>
      </c>
      <c r="O48" t="str">
        <f t="shared" si="3"/>
        <v>Hallucinations</v>
      </c>
    </row>
    <row r="49" spans="2:15" ht="15" customHeight="1" x14ac:dyDescent="0.25">
      <c r="B49" s="6" t="s">
        <v>209</v>
      </c>
      <c r="C49" t="s">
        <v>260</v>
      </c>
      <c r="D49" t="s">
        <v>261</v>
      </c>
      <c r="E49" t="str">
        <f>VLOOKUP(Table13[[#This Row],[Field Name]],Attributes!$A$7:$D$143,2,FALSE)</f>
        <v>field_longtext</v>
      </c>
      <c r="G49" s="14">
        <f>VLOOKUP(Table13[[#This Row],[Field Name]],Attributes!$A$7:$D$143,4,FALSE)</f>
        <v>0</v>
      </c>
      <c r="J49" s="8">
        <f>VLOOKUP(Table13[[#This Row],[Field Name]],Table9[],5,)</f>
        <v>0</v>
      </c>
      <c r="O49" t="str">
        <f t="shared" si="3"/>
        <v>Eating Problems</v>
      </c>
    </row>
    <row r="50" spans="2:15" ht="15" customHeight="1" x14ac:dyDescent="0.25">
      <c r="B50" s="6" t="s">
        <v>209</v>
      </c>
      <c r="C50" t="s">
        <v>262</v>
      </c>
      <c r="D50" t="s">
        <v>263</v>
      </c>
      <c r="E50" t="str">
        <f>VLOOKUP(Table13[[#This Row],[Field Name]],Attributes!$A$7:$D$143,2,FALSE)</f>
        <v>field_xlongtext</v>
      </c>
      <c r="G50" s="14">
        <f>VLOOKUP(Table13[[#This Row],[Field Name]],Attributes!$A$7:$D$143,4,FALSE)</f>
        <v>0</v>
      </c>
      <c r="J50" s="8">
        <f>VLOOKUP(Table13[[#This Row],[Field Name]],Table9[],5,)</f>
        <v>0</v>
      </c>
      <c r="O50" t="str">
        <f t="shared" si="3"/>
        <v>Treatment Motivations</v>
      </c>
    </row>
    <row r="51" spans="2:15" ht="15" customHeight="1" x14ac:dyDescent="0.25">
      <c r="B51" s="6" t="s">
        <v>209</v>
      </c>
      <c r="C51" t="s">
        <v>264</v>
      </c>
      <c r="D51" t="s">
        <v>265</v>
      </c>
      <c r="E51" t="str">
        <f>VLOOKUP(Table13[[#This Row],[Field Name]],Attributes!$A$7:$D$143,2,FALSE)</f>
        <v>field_datetime</v>
      </c>
      <c r="G51" s="14">
        <f>VLOOKUP(Table13[[#This Row],[Field Name]],Attributes!$A$7:$D$143,4,FALSE)</f>
        <v>0</v>
      </c>
      <c r="J51" s="8">
        <f>VLOOKUP(Table13[[#This Row],[Field Name]],Table9[],5,)</f>
        <v>0</v>
      </c>
      <c r="O51" t="str">
        <f t="shared" si="3"/>
        <v>End Date</v>
      </c>
    </row>
    <row r="52" spans="2:15" ht="15" customHeight="1" x14ac:dyDescent="0.25">
      <c r="B52" s="6" t="s">
        <v>209</v>
      </c>
      <c r="C52" t="s">
        <v>266</v>
      </c>
      <c r="D52" t="s">
        <v>267</v>
      </c>
      <c r="E52" t="str">
        <f>VLOOKUP(Table13[[#This Row],[Field Name]],Attributes!$A$7:$D$143,2,FALSE)</f>
        <v>field_enum</v>
      </c>
      <c r="G52" s="14" t="str">
        <f>VLOOKUP(Table13[[#This Row],[Field Name]],Attributes!$A$7:$D$143,4,FALSE)</f>
        <v>[{ "label": "Egreso", "value": "Egreso" },{ "label": "Abandono", "value": "Abandono" },{ "label": "Fuga", "value": "Fuga" },{ "label": "Remision", "value": "Remision" },{ "label": "Expulsion", "value": "Expulsion" }]</v>
      </c>
      <c r="J52" s="8">
        <f>VLOOKUP(Table13[[#This Row],[Field Name]],Table9[],5,)</f>
        <v>0</v>
      </c>
      <c r="O52" t="str">
        <f t="shared" si="3"/>
        <v>Cause Of End</v>
      </c>
    </row>
    <row r="53" spans="2:15" ht="15" customHeight="1" x14ac:dyDescent="0.25">
      <c r="B53" s="6" t="s">
        <v>209</v>
      </c>
      <c r="C53" t="s">
        <v>268</v>
      </c>
      <c r="D53" t="s">
        <v>272</v>
      </c>
      <c r="E53" t="str">
        <f>VLOOKUP(Table13[[#This Row],[Field Name]],Attributes!$A$7:$D$143,2,FALSE)</f>
        <v>field_datetime</v>
      </c>
      <c r="G53" s="14">
        <f>VLOOKUP(Table13[[#This Row],[Field Name]],Attributes!$A$7:$D$143,4,FALSE)</f>
        <v>0</v>
      </c>
      <c r="J53" s="8">
        <f>VLOOKUP(Table13[[#This Row],[Field Name]],Table9[],5,)</f>
        <v>0</v>
      </c>
      <c r="O53" t="str">
        <f t="shared" ref="O53:O54" si="4">PROPER(SUBSTITUTE(SUBSTITUTE(SUBSTITUTE(C53,"_id", ""),"rel_", ""), "_", " " ))</f>
        <v>End Date Second</v>
      </c>
    </row>
    <row r="54" spans="2:15" ht="15" customHeight="1" x14ac:dyDescent="0.25">
      <c r="B54" s="6" t="s">
        <v>209</v>
      </c>
      <c r="C54" t="s">
        <v>269</v>
      </c>
      <c r="D54" t="s">
        <v>273</v>
      </c>
      <c r="E54" t="str">
        <f>VLOOKUP(Table13[[#This Row],[Field Name]],Attributes!$A$7:$D$143,2,FALSE)</f>
        <v>field_enum</v>
      </c>
      <c r="G54" s="14" t="str">
        <f>VLOOKUP(Table13[[#This Row],[Field Name]],Attributes!$A$7:$D$143,4,FALSE)</f>
        <v>[{ "label": "Egreso", "value": "Egreso" },{ "label": "Abandono", "value": "Abandono" },{ "label": "Fuga", "value": "Fuga" },{ "label": "Remision", "value": "Remision" },{ "label": "Expulsion", "value": "Expulsion" }]</v>
      </c>
      <c r="J54" s="8">
        <f>VLOOKUP(Table13[[#This Row],[Field Name]],Table9[],5,)</f>
        <v>0</v>
      </c>
      <c r="O54" t="str">
        <f t="shared" si="4"/>
        <v>Cause Of End Second</v>
      </c>
    </row>
    <row r="55" spans="2:15" ht="15" customHeight="1" x14ac:dyDescent="0.25">
      <c r="B55" s="6" t="s">
        <v>209</v>
      </c>
      <c r="C55" t="s">
        <v>270</v>
      </c>
      <c r="D55" t="s">
        <v>274</v>
      </c>
      <c r="E55" t="str">
        <f>VLOOKUP(Table13[[#This Row],[Field Name]],Attributes!$A$7:$D$143,2,FALSE)</f>
        <v>field_datetime</v>
      </c>
      <c r="G55" s="14">
        <f>VLOOKUP(Table13[[#This Row],[Field Name]],Attributes!$A$7:$D$143,4,FALSE)</f>
        <v>0</v>
      </c>
      <c r="J55" s="8">
        <f>VLOOKUP(Table13[[#This Row],[Field Name]],Table9[],5,)</f>
        <v>0</v>
      </c>
      <c r="O55" t="str">
        <f t="shared" ref="O55:O56" si="5">PROPER(SUBSTITUTE(SUBSTITUTE(SUBSTITUTE(C55,"_id", ""),"rel_", ""), "_", " " ))</f>
        <v>End Date Third</v>
      </c>
    </row>
    <row r="56" spans="2:15" ht="15" customHeight="1" x14ac:dyDescent="0.25">
      <c r="B56" s="6" t="s">
        <v>209</v>
      </c>
      <c r="C56" t="s">
        <v>271</v>
      </c>
      <c r="D56" t="s">
        <v>275</v>
      </c>
      <c r="E56" t="str">
        <f>VLOOKUP(Table13[[#This Row],[Field Name]],Attributes!$A$7:$D$143,2,FALSE)</f>
        <v>field_enum</v>
      </c>
      <c r="G56" s="14" t="str">
        <f>VLOOKUP(Table13[[#This Row],[Field Name]],Attributes!$A$7:$D$143,4,FALSE)</f>
        <v>[{ "label": "Egreso", "value": "Egreso" },{ "label": "Abandono", "value": "Abandono" },{ "label": "Fuga", "value": "Fuga" },{ "label": "Remision", "value": "Remision" },{ "label": "Expulsion", "value": "Expulsion" }]</v>
      </c>
      <c r="J56" s="8">
        <f>VLOOKUP(Table13[[#This Row],[Field Name]],Table9[],5,)</f>
        <v>0</v>
      </c>
      <c r="O56" t="str">
        <f t="shared" si="5"/>
        <v>Cause Of End Third</v>
      </c>
    </row>
    <row r="57" spans="2:15" ht="15" customHeight="1" x14ac:dyDescent="0.25">
      <c r="B57" s="6" t="s">
        <v>209</v>
      </c>
      <c r="C57" t="s">
        <v>276</v>
      </c>
      <c r="D57" t="s">
        <v>277</v>
      </c>
      <c r="E57" t="str">
        <f>VLOOKUP(Table13[[#This Row],[Field Name]],Attributes!$A$7:$D$143,2,FALSE)</f>
        <v>field_xlongtext</v>
      </c>
      <c r="G57" s="14">
        <f>VLOOKUP(Table13[[#This Row],[Field Name]],Attributes!$A$7:$D$143,4,FALSE)</f>
        <v>0</v>
      </c>
      <c r="J57" s="8">
        <f>VLOOKUP(Table13[[#This Row],[Field Name]],Table9[],5,)</f>
        <v>0</v>
      </c>
      <c r="O57" t="str">
        <f t="shared" ref="O57:O63" si="6">PROPER(SUBSTITUTE(SUBSTITUTE(SUBSTITUTE(C57,"_id", ""),"rel_", ""), "_", " " ))</f>
        <v>Comments</v>
      </c>
    </row>
    <row r="58" spans="2:15" ht="15" customHeight="1" x14ac:dyDescent="0.25">
      <c r="B58" s="6" t="s">
        <v>209</v>
      </c>
      <c r="C58" t="s">
        <v>132</v>
      </c>
      <c r="D58" t="s">
        <v>278</v>
      </c>
      <c r="E58" t="str">
        <f>VLOOKUP(Table13[[#This Row],[Field Name]],Attributes!$A$7:$D$143,2,FALSE)</f>
        <v>field_fk</v>
      </c>
      <c r="G58" s="14">
        <f>VLOOKUP(Table13[[#This Row],[Field Name]],Attributes!$A$7:$D$143,4,FALSE)</f>
        <v>0</v>
      </c>
      <c r="J58" s="8" t="str">
        <f>VLOOKUP(Table13[[#This Row],[Field Name]],Table9[],5,)</f>
        <v>employees</v>
      </c>
      <c r="O58" t="str">
        <f t="shared" si="6"/>
        <v>Employee</v>
      </c>
    </row>
    <row r="59" spans="2:15" ht="15" customHeight="1" x14ac:dyDescent="0.25">
      <c r="B59" s="6" t="s">
        <v>209</v>
      </c>
      <c r="C59" t="s">
        <v>119</v>
      </c>
      <c r="D59" t="s">
        <v>185</v>
      </c>
      <c r="E59" t="str">
        <f>VLOOKUP(Table13[[#This Row],[Field Name]],Attributes!$A$7:$D$143,2,FALSE)</f>
        <v>field_boolean</v>
      </c>
      <c r="G59" s="14">
        <f>VLOOKUP(Table13[[#This Row],[Field Name]],Attributes!$A$7:$D$143,4,FALSE)</f>
        <v>0</v>
      </c>
      <c r="J59" s="8">
        <f>VLOOKUP(Table13[[#This Row],[Field Name]],Table9[],5,)</f>
        <v>0</v>
      </c>
      <c r="O59" t="str">
        <f t="shared" si="6"/>
        <v>Status</v>
      </c>
    </row>
    <row r="60" spans="2:15" ht="15" customHeight="1" x14ac:dyDescent="0.25">
      <c r="B60" s="6" t="s">
        <v>216</v>
      </c>
      <c r="C60" t="s">
        <v>114</v>
      </c>
      <c r="D60" t="s">
        <v>183</v>
      </c>
      <c r="E60" t="str">
        <f>VLOOKUP(Table13[[#This Row],[Field Name]],Attributes!$A$7:$D$143,2,FALSE)</f>
        <v>field_shorttext</v>
      </c>
      <c r="G60" s="14" t="str">
        <f>VLOOKUP(Table13[[#This Row],[Field Name]],Attributes!$A$7:$D$143,4,FALSE)</f>
        <v xml:space="preserve"> </v>
      </c>
      <c r="J60" s="8">
        <f>VLOOKUP(Table13[[#This Row],[Field Name]],Table9[],5,)</f>
        <v>0</v>
      </c>
      <c r="O60" t="str">
        <f t="shared" si="6"/>
        <v>Code</v>
      </c>
    </row>
    <row r="61" spans="2:15" ht="15" customHeight="1" x14ac:dyDescent="0.25">
      <c r="B61" s="6" t="s">
        <v>216</v>
      </c>
      <c r="C61" t="s">
        <v>117</v>
      </c>
      <c r="D61" t="s">
        <v>184</v>
      </c>
      <c r="E61" t="str">
        <f>VLOOKUP(Table13[[#This Row],[Field Name]],Attributes!$A$7:$D$143,2,FALSE)</f>
        <v>field_mediumtext</v>
      </c>
      <c r="G61" s="14">
        <f>VLOOKUP(Table13[[#This Row],[Field Name]],Attributes!$A$7:$D$143,4,FALSE)</f>
        <v>0</v>
      </c>
      <c r="J61" s="8">
        <f>VLOOKUP(Table13[[#This Row],[Field Name]],Table9[],5,)</f>
        <v>0</v>
      </c>
      <c r="O61" t="str">
        <f t="shared" si="6"/>
        <v>Name</v>
      </c>
    </row>
    <row r="62" spans="2:15" ht="15" customHeight="1" x14ac:dyDescent="0.25">
      <c r="B62" s="6" t="s">
        <v>216</v>
      </c>
      <c r="C62" t="s">
        <v>310</v>
      </c>
      <c r="D62" t="s">
        <v>311</v>
      </c>
      <c r="E62" t="str">
        <f>VLOOKUP(Table13[[#This Row],[Field Name]],Attributes!$A$7:$D$143,2,FALSE)</f>
        <v>field_mediumtext</v>
      </c>
      <c r="G62" s="14">
        <f>VLOOKUP(Table13[[#This Row],[Field Name]],Attributes!$A$7:$D$143,4,FALSE)</f>
        <v>0</v>
      </c>
      <c r="J62" s="8">
        <f>VLOOKUP(Table13[[#This Row],[Field Name]],Table9[],5,)</f>
        <v>0</v>
      </c>
      <c r="O62" t="str">
        <f t="shared" si="6"/>
        <v>Technical Name</v>
      </c>
    </row>
    <row r="63" spans="2:15" ht="15" customHeight="1" x14ac:dyDescent="0.25">
      <c r="B63" s="6" t="s">
        <v>216</v>
      </c>
      <c r="C63" t="s">
        <v>119</v>
      </c>
      <c r="D63" t="s">
        <v>185</v>
      </c>
      <c r="E63" t="str">
        <f>VLOOKUP(Table13[[#This Row],[Field Name]],Attributes!$A$7:$D$143,2,FALSE)</f>
        <v>field_boolean</v>
      </c>
      <c r="G63" s="14">
        <f>VLOOKUP(Table13[[#This Row],[Field Name]],Attributes!$A$7:$D$143,4,FALSE)</f>
        <v>0</v>
      </c>
      <c r="J63" s="8">
        <f>VLOOKUP(Table13[[#This Row],[Field Name]],Table9[],5,)</f>
        <v>0</v>
      </c>
      <c r="O63" t="str">
        <f t="shared" si="6"/>
        <v>Status</v>
      </c>
    </row>
    <row r="64" spans="2:15" ht="15" customHeight="1" x14ac:dyDescent="0.25">
      <c r="B64" s="6" t="s">
        <v>215</v>
      </c>
      <c r="C64" t="s">
        <v>114</v>
      </c>
      <c r="D64" t="s">
        <v>183</v>
      </c>
      <c r="E64" s="29" t="str">
        <f>VLOOKUP(Table13[[#This Row],[Field Name]],Attributes!$A$7:$D$143,2,FALSE)</f>
        <v>field_shorttext</v>
      </c>
      <c r="G64" s="30" t="str">
        <f>VLOOKUP(Table13[[#This Row],[Field Name]],Attributes!$A$7:$D$143,4,FALSE)</f>
        <v xml:space="preserve"> </v>
      </c>
      <c r="J64" s="31">
        <f>VLOOKUP(Table13[[#This Row],[Field Name]],Table9[],5,)</f>
        <v>0</v>
      </c>
      <c r="K64" s="29"/>
      <c r="L64" s="32"/>
      <c r="M64" s="29"/>
      <c r="N64" s="29"/>
      <c r="O64" s="29" t="str">
        <f>PROPER(SUBSTITUTE(SUBSTITUTE(SUBSTITUTE(C64,"_id", ""),"rel_", ""), "_", " " ))</f>
        <v>Code</v>
      </c>
    </row>
    <row r="65" spans="2:15" ht="15" customHeight="1" x14ac:dyDescent="0.25">
      <c r="B65" s="6" t="s">
        <v>215</v>
      </c>
      <c r="C65" t="s">
        <v>117</v>
      </c>
      <c r="D65" t="s">
        <v>372</v>
      </c>
      <c r="E65" s="29" t="str">
        <f>VLOOKUP(Table13[[#This Row],[Field Name]],Attributes!$A$7:$D$143,2,FALSE)</f>
        <v>field_mediumtext</v>
      </c>
      <c r="G65" s="30">
        <f>VLOOKUP(Table13[[#This Row],[Field Name]],Attributes!$A$7:$D$143,4,FALSE)</f>
        <v>0</v>
      </c>
      <c r="J65" s="31">
        <f>VLOOKUP(Table13[[#This Row],[Field Name]],Table9[],5,)</f>
        <v>0</v>
      </c>
      <c r="K65" s="29"/>
      <c r="L65" s="32"/>
      <c r="M65" s="29"/>
      <c r="N65" s="29"/>
      <c r="O65" s="29" t="str">
        <f t="shared" ref="O65:O66" si="7">PROPER(SUBSTITUTE(SUBSTITUTE(SUBSTITUTE(C65,"_id", ""),"rel_", ""), "_", " " ))</f>
        <v>Name</v>
      </c>
    </row>
    <row r="66" spans="2:15" ht="15" customHeight="1" x14ac:dyDescent="0.25">
      <c r="B66" s="6" t="s">
        <v>215</v>
      </c>
      <c r="C66" t="s">
        <v>119</v>
      </c>
      <c r="D66" t="s">
        <v>185</v>
      </c>
      <c r="E66" s="29" t="str">
        <f>VLOOKUP(Table13[[#This Row],[Field Name]],Attributes!$A$7:$D$143,2,FALSE)</f>
        <v>field_boolean</v>
      </c>
      <c r="G66" s="30">
        <f>VLOOKUP(Table13[[#This Row],[Field Name]],Attributes!$A$7:$D$143,4,FALSE)</f>
        <v>0</v>
      </c>
      <c r="J66" s="31">
        <f>VLOOKUP(Table13[[#This Row],[Field Name]],Table9[],5,)</f>
        <v>0</v>
      </c>
      <c r="K66" s="29"/>
      <c r="L66" s="32"/>
      <c r="M66" s="29"/>
      <c r="N66" s="29"/>
      <c r="O66" s="29" t="str">
        <f t="shared" si="7"/>
        <v>Status</v>
      </c>
    </row>
    <row r="67" spans="2:15" ht="15" customHeight="1" x14ac:dyDescent="0.25">
      <c r="B67" s="6" t="s">
        <v>210</v>
      </c>
      <c r="C67" t="s">
        <v>114</v>
      </c>
      <c r="D67" t="s">
        <v>183</v>
      </c>
      <c r="E67" t="str">
        <f>VLOOKUP(Table13[[#This Row],[Field Name]],Attributes!$A$7:$D$143,2,FALSE)</f>
        <v>field_shorttext</v>
      </c>
      <c r="G67" s="14" t="str">
        <f>VLOOKUP(Table13[[#This Row],[Field Name]],Attributes!$A$7:$D$143,4,FALSE)</f>
        <v xml:space="preserve"> </v>
      </c>
      <c r="J67" s="8">
        <f>VLOOKUP(Table13[[#This Row],[Field Name]],Table9[],5,)</f>
        <v>0</v>
      </c>
      <c r="K67" t="s">
        <v>174</v>
      </c>
      <c r="M67" t="s">
        <v>174</v>
      </c>
      <c r="O67" t="str">
        <f t="shared" ref="O67" si="8">PROPER(SUBSTITUTE(SUBSTITUTE(SUBSTITUTE(C67,"_id", ""),"rel_", ""), "_", " " ))</f>
        <v>Code</v>
      </c>
    </row>
    <row r="68" spans="2:15" ht="15" customHeight="1" x14ac:dyDescent="0.25">
      <c r="B68" s="6" t="s">
        <v>210</v>
      </c>
      <c r="C68" t="s">
        <v>279</v>
      </c>
      <c r="D68" t="s">
        <v>280</v>
      </c>
      <c r="E68" t="str">
        <f>VLOOKUP(Table13[[#This Row],[Field Name]],Attributes!$A$7:$D$143,2,FALSE)</f>
        <v>field_datetime</v>
      </c>
      <c r="G68" s="14">
        <f>VLOOKUP(Table13[[#This Row],[Field Name]],Attributes!$A$7:$D$143,4,FALSE)</f>
        <v>0</v>
      </c>
      <c r="J68" s="8">
        <f>VLOOKUP(Table13[[#This Row],[Field Name]],Table9[],5,)</f>
        <v>0</v>
      </c>
      <c r="K68" t="s">
        <v>174</v>
      </c>
      <c r="O68" t="str">
        <f t="shared" ref="O68:O98" si="9">PROPER(SUBSTITUTE(SUBSTITUTE(SUBSTITUTE(C68,"_id", ""),"rel_", ""), "_", " " ))</f>
        <v>Issue Date</v>
      </c>
    </row>
    <row r="69" spans="2:15" ht="15" customHeight="1" x14ac:dyDescent="0.25">
      <c r="B69" s="6" t="s">
        <v>210</v>
      </c>
      <c r="C69" s="6" t="s">
        <v>312</v>
      </c>
      <c r="D69" t="s">
        <v>313</v>
      </c>
      <c r="E69" t="str">
        <f>VLOOKUP(Table13[[#This Row],[Field Name]],Attributes!$A$7:$D$143,2,FALSE)</f>
        <v>field_fk</v>
      </c>
      <c r="G69" s="14">
        <f>VLOOKUP(Table13[[#This Row],[Field Name]],Attributes!$A$7:$D$143,4,FALSE)</f>
        <v>0</v>
      </c>
      <c r="J69" s="8">
        <f>VLOOKUP(Table13[[#This Row],[Field Name]],Table9[],5,)</f>
        <v>0</v>
      </c>
      <c r="O69" t="str">
        <f t="shared" si="9"/>
        <v>Patient</v>
      </c>
    </row>
    <row r="70" spans="2:15" ht="15" customHeight="1" x14ac:dyDescent="0.25">
      <c r="B70" s="6" t="s">
        <v>210</v>
      </c>
      <c r="C70" t="s">
        <v>314</v>
      </c>
      <c r="D70" t="s">
        <v>315</v>
      </c>
      <c r="E70" t="str">
        <f>VLOOKUP(Table13[[#This Row],[Field Name]],Attributes!$A$7:$D$143,2,FALSE)</f>
        <v>field_xlongtext</v>
      </c>
      <c r="G70" s="14">
        <f>VLOOKUP(Table13[[#This Row],[Field Name]],Attributes!$A$7:$D$143,4,FALSE)</f>
        <v>0</v>
      </c>
      <c r="J70" s="8">
        <f>VLOOKUP(Table13[[#This Row],[Field Name]],Table9[],5,)</f>
        <v>0</v>
      </c>
      <c r="O70" t="str">
        <f t="shared" si="9"/>
        <v>Reason Of Visit</v>
      </c>
    </row>
    <row r="71" spans="2:15" ht="15" customHeight="1" x14ac:dyDescent="0.25">
      <c r="B71" s="6" t="s">
        <v>210</v>
      </c>
      <c r="C71" t="s">
        <v>317</v>
      </c>
      <c r="D71" t="s">
        <v>318</v>
      </c>
      <c r="E71" t="str">
        <f>VLOOKUP(Table13[[#This Row],[Field Name]],Attributes!$A$7:$D$143,2,FALSE)</f>
        <v>field_xlongtext</v>
      </c>
      <c r="G71" s="14">
        <f>VLOOKUP(Table13[[#This Row],[Field Name]],Attributes!$A$7:$D$143,4,FALSE)</f>
        <v>0</v>
      </c>
      <c r="J71" s="8">
        <f>VLOOKUP(Table13[[#This Row],[Field Name]],Table9[],5,)</f>
        <v>0</v>
      </c>
      <c r="O71" t="str">
        <f t="shared" si="9"/>
        <v>Family History</v>
      </c>
    </row>
    <row r="72" spans="2:15" ht="15" customHeight="1" x14ac:dyDescent="0.25">
      <c r="B72" s="6" t="s">
        <v>210</v>
      </c>
      <c r="C72" t="s">
        <v>319</v>
      </c>
      <c r="D72" t="s">
        <v>320</v>
      </c>
      <c r="E72" t="str">
        <f>VLOOKUP(Table13[[#This Row],[Field Name]],Attributes!$A$7:$D$143,2,FALSE)</f>
        <v>field_xlongtext</v>
      </c>
      <c r="G72" s="14">
        <f>VLOOKUP(Table13[[#This Row],[Field Name]],Attributes!$A$7:$D$143,4,FALSE)</f>
        <v>0</v>
      </c>
      <c r="J72" s="8">
        <f>VLOOKUP(Table13[[#This Row],[Field Name]],Table9[],5,)</f>
        <v>0</v>
      </c>
      <c r="O72" t="str">
        <f t="shared" si="9"/>
        <v>Work History</v>
      </c>
    </row>
    <row r="73" spans="2:15" ht="15" customHeight="1" x14ac:dyDescent="0.25">
      <c r="B73" s="6" t="s">
        <v>210</v>
      </c>
      <c r="C73" t="s">
        <v>322</v>
      </c>
      <c r="D73" t="s">
        <v>321</v>
      </c>
      <c r="E73" t="str">
        <f>VLOOKUP(Table13[[#This Row],[Field Name]],Attributes!$A$7:$D$143,2,FALSE)</f>
        <v>field_xlongtext</v>
      </c>
      <c r="G73" s="14">
        <f>VLOOKUP(Table13[[#This Row],[Field Name]],Attributes!$A$7:$D$143,4,FALSE)</f>
        <v>0</v>
      </c>
      <c r="J73" s="8">
        <f>VLOOKUP(Table13[[#This Row],[Field Name]],Table9[],5,)</f>
        <v>0</v>
      </c>
      <c r="O73" t="str">
        <f t="shared" si="9"/>
        <v>Personal History</v>
      </c>
    </row>
    <row r="74" spans="2:15" ht="15" customHeight="1" x14ac:dyDescent="0.25">
      <c r="B74" s="6" t="s">
        <v>210</v>
      </c>
      <c r="C74" t="s">
        <v>323</v>
      </c>
      <c r="D74" t="s">
        <v>324</v>
      </c>
      <c r="E74" t="str">
        <f>VLOOKUP(Table13[[#This Row],[Field Name]],Attributes!$A$7:$D$143,2,FALSE)</f>
        <v>field_xlongtext</v>
      </c>
      <c r="G74" s="14">
        <f>VLOOKUP(Table13[[#This Row],[Field Name]],Attributes!$A$7:$D$143,4,FALSE)</f>
        <v>0</v>
      </c>
      <c r="J74" s="8">
        <f>VLOOKUP(Table13[[#This Row],[Field Name]],Table9[],5,)</f>
        <v>0</v>
      </c>
      <c r="O74" t="str">
        <f t="shared" si="9"/>
        <v>Addiction History</v>
      </c>
    </row>
    <row r="75" spans="2:15" ht="15" customHeight="1" x14ac:dyDescent="0.25">
      <c r="B75" s="6" t="s">
        <v>210</v>
      </c>
      <c r="C75" t="s">
        <v>417</v>
      </c>
      <c r="D75" t="s">
        <v>325</v>
      </c>
      <c r="E75" t="str">
        <f>VLOOKUP(Table13[[#This Row],[Field Name]],Attributes!$A$7:$D$143,2,FALSE)</f>
        <v>field_xlongtext</v>
      </c>
      <c r="G75" s="14">
        <f>VLOOKUP(Table13[[#This Row],[Field Name]],Attributes!$A$7:$D$143,4,FALSE)</f>
        <v>0</v>
      </c>
      <c r="J75" s="8">
        <f>VLOOKUP(Table13[[#This Row],[Field Name]],Table9[],5,)</f>
        <v>0</v>
      </c>
      <c r="O75" t="str">
        <f t="shared" si="9"/>
        <v>Way Administration</v>
      </c>
    </row>
    <row r="76" spans="2:15" ht="15" customHeight="1" x14ac:dyDescent="0.25">
      <c r="B76" s="6" t="s">
        <v>210</v>
      </c>
      <c r="C76" t="s">
        <v>419</v>
      </c>
      <c r="D76" t="s">
        <v>326</v>
      </c>
      <c r="E76" t="str">
        <f>VLOOKUP(Table13[[#This Row],[Field Name]],Attributes!$A$7:$D$143,2,FALSE)</f>
        <v>field_xlongtext</v>
      </c>
      <c r="G76" s="14">
        <f>VLOOKUP(Table13[[#This Row],[Field Name]],Attributes!$A$7:$D$143,4,FALSE)</f>
        <v>0</v>
      </c>
      <c r="J76" s="8">
        <f>VLOOKUP(Table13[[#This Row],[Field Name]],Table9[],5,)</f>
        <v>0</v>
      </c>
      <c r="O76" t="str">
        <f t="shared" si="9"/>
        <v>Other Substances</v>
      </c>
    </row>
    <row r="77" spans="2:15" ht="15" customHeight="1" x14ac:dyDescent="0.25">
      <c r="B77" s="6" t="s">
        <v>210</v>
      </c>
      <c r="C77" t="s">
        <v>418</v>
      </c>
      <c r="D77" t="s">
        <v>327</v>
      </c>
      <c r="E77" t="str">
        <f>VLOOKUP(Table13[[#This Row],[Field Name]],Attributes!$A$7:$D$143,2,FALSE)</f>
        <v>field_xlongtext</v>
      </c>
      <c r="G77" s="14">
        <f>VLOOKUP(Table13[[#This Row],[Field Name]],Attributes!$A$7:$D$143,4,FALSE)</f>
        <v>0</v>
      </c>
      <c r="J77" s="8">
        <f>VLOOKUP(Table13[[#This Row],[Field Name]],Table9[],5,)</f>
        <v>0</v>
      </c>
      <c r="O77" t="str">
        <f t="shared" si="9"/>
        <v>Highest Substance</v>
      </c>
    </row>
    <row r="78" spans="2:15" ht="15" customHeight="1" x14ac:dyDescent="0.25">
      <c r="B78" s="6" t="s">
        <v>210</v>
      </c>
      <c r="C78" t="s">
        <v>328</v>
      </c>
      <c r="D78" t="s">
        <v>336</v>
      </c>
      <c r="E78" t="str">
        <f>VLOOKUP(Table13[[#This Row],[Field Name]],Attributes!$A$7:$D$143,2,FALSE)</f>
        <v>field_enum</v>
      </c>
      <c r="G78" s="14" t="str">
        <f>VLOOKUP(Table13[[#This Row],[Field Name]],Attributes!$A$7:$D$143,4,FALSE)</f>
        <v>[{ "label": "SI", "value": "SI" },{ "label": "NO", "value": "NO" }]</v>
      </c>
      <c r="J78" s="8">
        <f>VLOOKUP(Table13[[#This Row],[Field Name]],Table9[],5,)</f>
        <v>0</v>
      </c>
      <c r="O78" t="str">
        <f t="shared" si="9"/>
        <v>Current Consumption</v>
      </c>
    </row>
    <row r="79" spans="2:15" ht="15" customHeight="1" x14ac:dyDescent="0.25">
      <c r="B79" s="6" t="s">
        <v>210</v>
      </c>
      <c r="C79" t="s">
        <v>329</v>
      </c>
      <c r="D79" t="s">
        <v>330</v>
      </c>
      <c r="E79" t="str">
        <f>VLOOKUP(Table13[[#This Row],[Field Name]],Attributes!$A$7:$D$143,2,FALSE)</f>
        <v>field_enum</v>
      </c>
      <c r="G79" s="14" t="str">
        <f>VLOOKUP(Table13[[#This Row],[Field Name]],Attributes!$A$7:$D$143,4,FALSE)</f>
        <v>[{ "label": "SI", "value": "SI" },{ "label": "NO", "value": "NO" }]</v>
      </c>
      <c r="J79" s="8">
        <f>VLOOKUP(Table13[[#This Row],[Field Name]],Table9[],5,)</f>
        <v>0</v>
      </c>
      <c r="O79" t="str">
        <f t="shared" si="9"/>
        <v>Addictive Behavior</v>
      </c>
    </row>
    <row r="80" spans="2:15" ht="15" customHeight="1" x14ac:dyDescent="0.25">
      <c r="B80" s="6" t="s">
        <v>210</v>
      </c>
      <c r="C80" t="s">
        <v>333</v>
      </c>
      <c r="D80" s="21" t="s">
        <v>331</v>
      </c>
      <c r="E80" t="str">
        <f>VLOOKUP(Table13[[#This Row],[Field Name]],Attributes!$A$7:$D$143,2,FALSE)</f>
        <v>field_enum</v>
      </c>
      <c r="G80" s="14" t="str">
        <f>VLOOKUP(Table13[[#This Row],[Field Name]],Attributes!$A$7:$D$143,4,FALSE)</f>
        <v>[{ "label": "SI", "value": "SI" },{ "label": "NO", "value": "NO" }]</v>
      </c>
      <c r="J80" s="8">
        <f>VLOOKUP(Table13[[#This Row],[Field Name]],Table9[],5,)</f>
        <v>0</v>
      </c>
      <c r="O80" t="str">
        <f t="shared" si="9"/>
        <v>Previous Treatment</v>
      </c>
    </row>
    <row r="81" spans="2:15" ht="15" customHeight="1" x14ac:dyDescent="0.25">
      <c r="B81" s="6" t="s">
        <v>210</v>
      </c>
      <c r="C81" t="s">
        <v>332</v>
      </c>
      <c r="D81" t="s">
        <v>334</v>
      </c>
      <c r="E81" t="str">
        <f>VLOOKUP(Table13[[#This Row],[Field Name]],Attributes!$A$7:$D$143,2,FALSE)</f>
        <v>field_xlongtext</v>
      </c>
      <c r="G81" s="14">
        <f>VLOOKUP(Table13[[#This Row],[Field Name]],Attributes!$A$7:$D$143,4,FALSE)</f>
        <v>0</v>
      </c>
      <c r="J81" s="8">
        <f>VLOOKUP(Table13[[#This Row],[Field Name]],Table9[],5,)</f>
        <v>0</v>
      </c>
      <c r="O81" t="str">
        <f t="shared" si="9"/>
        <v>Place Treatment</v>
      </c>
    </row>
    <row r="82" spans="2:15" ht="15" customHeight="1" x14ac:dyDescent="0.25">
      <c r="B82" s="6" t="s">
        <v>210</v>
      </c>
      <c r="C82" t="s">
        <v>335</v>
      </c>
      <c r="D82" t="s">
        <v>337</v>
      </c>
      <c r="E82" t="str">
        <f>VLOOKUP(Table13[[#This Row],[Field Name]],Attributes!$A$7:$D$143,2,FALSE)</f>
        <v>field_xlongtext</v>
      </c>
      <c r="G82" s="14">
        <f>VLOOKUP(Table13[[#This Row],[Field Name]],Attributes!$A$7:$D$143,4,FALSE)</f>
        <v>0</v>
      </c>
      <c r="J82" s="8">
        <f>VLOOKUP(Table13[[#This Row],[Field Name]],Table9[],5,)</f>
        <v>0</v>
      </c>
      <c r="O82" t="str">
        <f t="shared" si="9"/>
        <v>Mental Illness</v>
      </c>
    </row>
    <row r="83" spans="2:15" ht="15" customHeight="1" x14ac:dyDescent="0.25">
      <c r="B83" s="6" t="s">
        <v>210</v>
      </c>
      <c r="C83" s="8" t="s">
        <v>420</v>
      </c>
      <c r="D83" t="s">
        <v>338</v>
      </c>
      <c r="E83" t="str">
        <f>VLOOKUP(Table13[[#This Row],[Field Name]],Attributes!$A$7:$D$143,2,FALSE)</f>
        <v>field_xlongtext</v>
      </c>
      <c r="G83" s="14">
        <f>VLOOKUP(Table13[[#This Row],[Field Name]],Attributes!$A$7:$D$143,4,FALSE)</f>
        <v>0</v>
      </c>
      <c r="J83" s="8">
        <f>VLOOKUP(Table13[[#This Row],[Field Name]],Table9[],5,)</f>
        <v>0</v>
      </c>
      <c r="O83" t="str">
        <f t="shared" si="9"/>
        <v>Suicidal Thinking</v>
      </c>
    </row>
    <row r="84" spans="2:15" ht="15" customHeight="1" x14ac:dyDescent="0.25">
      <c r="B84" s="6" t="s">
        <v>210</v>
      </c>
      <c r="C84" t="s">
        <v>339</v>
      </c>
      <c r="D84" t="s">
        <v>340</v>
      </c>
      <c r="E84" t="str">
        <f>VLOOKUP(Table13[[#This Row],[Field Name]],Attributes!$A$7:$D$143,2,FALSE)</f>
        <v>field_xlongtext</v>
      </c>
      <c r="G84" s="14">
        <f>VLOOKUP(Table13[[#This Row],[Field Name]],Attributes!$A$7:$D$143,4,FALSE)</f>
        <v>0</v>
      </c>
      <c r="J84" s="8">
        <f>VLOOKUP(Table13[[#This Row],[Field Name]],Table9[],5,)</f>
        <v>0</v>
      </c>
      <c r="O84" t="str">
        <f t="shared" si="9"/>
        <v>Homicidal Attempts</v>
      </c>
    </row>
    <row r="85" spans="2:15" ht="15" customHeight="1" x14ac:dyDescent="0.25">
      <c r="B85" s="6" t="s">
        <v>210</v>
      </c>
      <c r="C85" t="s">
        <v>341</v>
      </c>
      <c r="D85" t="s">
        <v>342</v>
      </c>
      <c r="E85" t="str">
        <f>VLOOKUP(Table13[[#This Row],[Field Name]],Attributes!$A$7:$D$143,2,FALSE)</f>
        <v>field_xlongtext</v>
      </c>
      <c r="G85" s="14">
        <f>VLOOKUP(Table13[[#This Row],[Field Name]],Attributes!$A$7:$D$143,4,FALSE)</f>
        <v>0</v>
      </c>
      <c r="J85" s="8">
        <f>VLOOKUP(Table13[[#This Row],[Field Name]],Table9[],5,)</f>
        <v>0</v>
      </c>
      <c r="O85" t="str">
        <f t="shared" si="9"/>
        <v>Language</v>
      </c>
    </row>
    <row r="86" spans="2:15" ht="15" customHeight="1" x14ac:dyDescent="0.25">
      <c r="B86" s="6" t="s">
        <v>210</v>
      </c>
      <c r="C86" t="s">
        <v>251</v>
      </c>
      <c r="D86" t="s">
        <v>354</v>
      </c>
      <c r="E86" t="str">
        <f>VLOOKUP(Table13[[#This Row],[Field Name]],Attributes!$A$7:$D$143,2,FALSE)</f>
        <v>field_xlongtext</v>
      </c>
      <c r="G86" s="14">
        <f>VLOOKUP(Table13[[#This Row],[Field Name]],Attributes!$A$7:$D$143,4,FALSE)</f>
        <v>0</v>
      </c>
      <c r="J86" s="8">
        <f>VLOOKUP(Table13[[#This Row],[Field Name]],Table9[],5,)</f>
        <v>0</v>
      </c>
      <c r="O86" t="str">
        <f t="shared" si="9"/>
        <v>Orientation</v>
      </c>
    </row>
    <row r="87" spans="2:15" ht="15" customHeight="1" x14ac:dyDescent="0.25">
      <c r="B87" s="6" t="s">
        <v>210</v>
      </c>
      <c r="C87" t="s">
        <v>343</v>
      </c>
      <c r="D87" t="s">
        <v>344</v>
      </c>
      <c r="E87" t="str">
        <f>VLOOKUP(Table13[[#This Row],[Field Name]],Attributes!$A$7:$D$143,2,FALSE)</f>
        <v>field_xlongtext</v>
      </c>
      <c r="G87" s="14">
        <f>VLOOKUP(Table13[[#This Row],[Field Name]],Attributes!$A$7:$D$143,4,FALSE)</f>
        <v>0</v>
      </c>
      <c r="J87" s="8">
        <f>VLOOKUP(Table13[[#This Row],[Field Name]],Table9[],5,)</f>
        <v>0</v>
      </c>
      <c r="O87" t="str">
        <f t="shared" si="9"/>
        <v>Memory</v>
      </c>
    </row>
    <row r="88" spans="2:15" ht="15" customHeight="1" x14ac:dyDescent="0.25">
      <c r="B88" s="6" t="s">
        <v>210</v>
      </c>
      <c r="C88" t="s">
        <v>345</v>
      </c>
      <c r="D88" t="s">
        <v>355</v>
      </c>
      <c r="E88" t="str">
        <f>VLOOKUP(Table13[[#This Row],[Field Name]],Attributes!$A$7:$D$143,2,FALSE)</f>
        <v>field_xlongtext</v>
      </c>
      <c r="G88" s="14">
        <f>VLOOKUP(Table13[[#This Row],[Field Name]],Attributes!$A$7:$D$143,4,FALSE)</f>
        <v>0</v>
      </c>
      <c r="J88" s="8">
        <f>VLOOKUP(Table13[[#This Row],[Field Name]],Table9[],5,)</f>
        <v>0</v>
      </c>
      <c r="O88" t="str">
        <f t="shared" si="9"/>
        <v>Mood</v>
      </c>
    </row>
    <row r="89" spans="2:15" ht="15" customHeight="1" x14ac:dyDescent="0.25">
      <c r="B89" s="6" t="s">
        <v>210</v>
      </c>
      <c r="C89" t="s">
        <v>346</v>
      </c>
      <c r="D89" t="s">
        <v>347</v>
      </c>
      <c r="E89" t="str">
        <f>VLOOKUP(Table13[[#This Row],[Field Name]],Attributes!$A$7:$D$143,2,FALSE)</f>
        <v>field_xlongtext</v>
      </c>
      <c r="G89" s="14">
        <f>VLOOKUP(Table13[[#This Row],[Field Name]],Attributes!$A$7:$D$143,4,FALSE)</f>
        <v>0</v>
      </c>
      <c r="J89" s="8">
        <f>VLOOKUP(Table13[[#This Row],[Field Name]],Table9[],5,)</f>
        <v>0</v>
      </c>
      <c r="O89" t="str">
        <f t="shared" si="9"/>
        <v>Feeding</v>
      </c>
    </row>
    <row r="90" spans="2:15" ht="15" customHeight="1" x14ac:dyDescent="0.25">
      <c r="B90" s="6" t="s">
        <v>210</v>
      </c>
      <c r="C90" t="s">
        <v>348</v>
      </c>
      <c r="D90" t="s">
        <v>349</v>
      </c>
      <c r="E90" t="str">
        <f>VLOOKUP(Table13[[#This Row],[Field Name]],Attributes!$A$7:$D$143,2,FALSE)</f>
        <v>field_xlongtext</v>
      </c>
      <c r="G90" s="14">
        <f>VLOOKUP(Table13[[#This Row],[Field Name]],Attributes!$A$7:$D$143,4,FALSE)</f>
        <v>0</v>
      </c>
      <c r="J90" s="8">
        <f>VLOOKUP(Table13[[#This Row],[Field Name]],Table9[],5,)</f>
        <v>0</v>
      </c>
      <c r="O90" t="str">
        <f t="shared" si="9"/>
        <v>Sleep</v>
      </c>
    </row>
    <row r="91" spans="2:15" ht="15" customHeight="1" x14ac:dyDescent="0.25">
      <c r="B91" s="6" t="s">
        <v>210</v>
      </c>
      <c r="C91" t="s">
        <v>350</v>
      </c>
      <c r="D91" t="s">
        <v>351</v>
      </c>
      <c r="E91" t="str">
        <f>VLOOKUP(Table13[[#This Row],[Field Name]],Attributes!$A$7:$D$143,2,FALSE)</f>
        <v>field_xlongtext</v>
      </c>
      <c r="G91" s="14">
        <f>VLOOKUP(Table13[[#This Row],[Field Name]],Attributes!$A$7:$D$143,4,FALSE)</f>
        <v>0</v>
      </c>
      <c r="J91" s="8">
        <f>VLOOKUP(Table13[[#This Row],[Field Name]],Table9[],5,)</f>
        <v>0</v>
      </c>
      <c r="O91" t="str">
        <f t="shared" si="9"/>
        <v>Medication</v>
      </c>
    </row>
    <row r="92" spans="2:15" ht="15" customHeight="1" x14ac:dyDescent="0.25">
      <c r="B92" s="6" t="s">
        <v>210</v>
      </c>
      <c r="C92" t="s">
        <v>352</v>
      </c>
      <c r="D92" t="s">
        <v>353</v>
      </c>
      <c r="E92" t="str">
        <f>VLOOKUP(Table13[[#This Row],[Field Name]],Attributes!$A$7:$D$143,2,FALSE)</f>
        <v>field_xlongtext</v>
      </c>
      <c r="G92" s="14">
        <f>VLOOKUP(Table13[[#This Row],[Field Name]],Attributes!$A$7:$D$143,4,FALSE)</f>
        <v>0</v>
      </c>
      <c r="J92" s="8">
        <f>VLOOKUP(Table13[[#This Row],[Field Name]],Table9[],5,)</f>
        <v>0</v>
      </c>
      <c r="O92" t="str">
        <f t="shared" si="9"/>
        <v>Legal Issues</v>
      </c>
    </row>
    <row r="93" spans="2:15" ht="15" customHeight="1" x14ac:dyDescent="0.25">
      <c r="B93" s="6" t="s">
        <v>210</v>
      </c>
      <c r="C93" t="s">
        <v>365</v>
      </c>
      <c r="D93" t="s">
        <v>356</v>
      </c>
      <c r="E93" t="str">
        <f>VLOOKUP(Table13[[#This Row],[Field Name]],Attributes!$A$7:$D$143,2,FALSE)</f>
        <v>field_xlongtext</v>
      </c>
      <c r="G93" s="14">
        <f>VLOOKUP(Table13[[#This Row],[Field Name]],Attributes!$A$7:$D$143,4,FALSE)</f>
        <v>0</v>
      </c>
      <c r="J93" s="8">
        <f>VLOOKUP(Table13[[#This Row],[Field Name]],Table9[],5,)</f>
        <v>0</v>
      </c>
      <c r="O93" t="str">
        <f t="shared" si="9"/>
        <v>Defense Mechanism</v>
      </c>
    </row>
    <row r="94" spans="2:15" ht="15" customHeight="1" x14ac:dyDescent="0.25">
      <c r="B94" s="6" t="s">
        <v>210</v>
      </c>
      <c r="C94" t="s">
        <v>357</v>
      </c>
      <c r="D94" t="s">
        <v>358</v>
      </c>
      <c r="E94" t="str">
        <f>VLOOKUP(Table13[[#This Row],[Field Name]],Attributes!$A$7:$D$143,2,FALSE)</f>
        <v>field_xlongtext</v>
      </c>
      <c r="G94" s="14">
        <f>VLOOKUP(Table13[[#This Row],[Field Name]],Attributes!$A$7:$D$143,4,FALSE)</f>
        <v>0</v>
      </c>
      <c r="J94" s="8">
        <f>VLOOKUP(Table13[[#This Row],[Field Name]],Table9[],5,)</f>
        <v>0</v>
      </c>
      <c r="O94" t="str">
        <f t="shared" si="9"/>
        <v>Another Difficulty</v>
      </c>
    </row>
    <row r="95" spans="2:15" ht="15" customHeight="1" x14ac:dyDescent="0.25">
      <c r="B95" s="6" t="s">
        <v>210</v>
      </c>
      <c r="C95" t="s">
        <v>359</v>
      </c>
      <c r="D95" t="s">
        <v>360</v>
      </c>
      <c r="E95" t="str">
        <f>VLOOKUP(Table13[[#This Row],[Field Name]],Attributes!$A$7:$D$143,2,FALSE)</f>
        <v>field_xlongtext</v>
      </c>
      <c r="G95" s="14">
        <f>VLOOKUP(Table13[[#This Row],[Field Name]],Attributes!$A$7:$D$143,4,FALSE)</f>
        <v>0</v>
      </c>
      <c r="J95" s="8">
        <f>VLOOKUP(Table13[[#This Row],[Field Name]],Table9[],5,)</f>
        <v>0</v>
      </c>
      <c r="O95" t="str">
        <f t="shared" si="9"/>
        <v>Expectation</v>
      </c>
    </row>
    <row r="96" spans="2:15" ht="15" customHeight="1" x14ac:dyDescent="0.25">
      <c r="B96" s="6" t="s">
        <v>210</v>
      </c>
      <c r="C96" t="s">
        <v>361</v>
      </c>
      <c r="D96" t="s">
        <v>362</v>
      </c>
      <c r="E96" t="str">
        <f>VLOOKUP(Table13[[#This Row],[Field Name]],Attributes!$A$7:$D$143,2,FALSE)</f>
        <v>field_xlongtext</v>
      </c>
      <c r="G96" s="14">
        <f>VLOOKUP(Table13[[#This Row],[Field Name]],Attributes!$A$7:$D$143,4,FALSE)</f>
        <v>0</v>
      </c>
      <c r="J96" s="8">
        <f>VLOOKUP(Table13[[#This Row],[Field Name]],Table9[],5,)</f>
        <v>0</v>
      </c>
      <c r="O96" t="str">
        <f t="shared" si="9"/>
        <v>Diagnostic Impression</v>
      </c>
    </row>
    <row r="97" spans="2:15" ht="15" customHeight="1" x14ac:dyDescent="0.25">
      <c r="B97" s="6" t="s">
        <v>210</v>
      </c>
      <c r="C97" t="s">
        <v>363</v>
      </c>
      <c r="D97" t="s">
        <v>364</v>
      </c>
      <c r="E97" t="str">
        <f>VLOOKUP(Table13[[#This Row],[Field Name]],Attributes!$A$7:$D$143,2,FALSE)</f>
        <v>field_xlongtext</v>
      </c>
      <c r="G97" s="14">
        <f>VLOOKUP(Table13[[#This Row],[Field Name]],Attributes!$A$7:$D$143,4,FALSE)</f>
        <v>0</v>
      </c>
      <c r="J97" s="8">
        <f>VLOOKUP(Table13[[#This Row],[Field Name]],Table9[],5,)</f>
        <v>0</v>
      </c>
      <c r="O97" t="str">
        <f t="shared" si="9"/>
        <v>Intervention</v>
      </c>
    </row>
    <row r="98" spans="2:15" ht="15" customHeight="1" x14ac:dyDescent="0.25">
      <c r="B98" s="6" t="s">
        <v>210</v>
      </c>
      <c r="C98" t="s">
        <v>276</v>
      </c>
      <c r="D98" t="s">
        <v>277</v>
      </c>
      <c r="E98" t="str">
        <f>VLOOKUP(Table13[[#This Row],[Field Name]],Attributes!$A$7:$D$143,2,FALSE)</f>
        <v>field_xlongtext</v>
      </c>
      <c r="G98" s="14">
        <f>VLOOKUP(Table13[[#This Row],[Field Name]],Attributes!$A$7:$D$143,4,FALSE)</f>
        <v>0</v>
      </c>
      <c r="J98" s="8">
        <f>VLOOKUP(Table13[[#This Row],[Field Name]],Table9[],5,)</f>
        <v>0</v>
      </c>
      <c r="O98" t="str">
        <f t="shared" si="9"/>
        <v>Comments</v>
      </c>
    </row>
    <row r="99" spans="2:15" ht="15" customHeight="1" x14ac:dyDescent="0.25">
      <c r="B99" s="6" t="s">
        <v>210</v>
      </c>
      <c r="C99" t="s">
        <v>132</v>
      </c>
      <c r="D99" t="s">
        <v>278</v>
      </c>
      <c r="E99" t="str">
        <f>VLOOKUP(Table13[[#This Row],[Field Name]],Attributes!$A$7:$D$143,2,FALSE)</f>
        <v>field_fk</v>
      </c>
      <c r="G99" s="14">
        <f>VLOOKUP(Table13[[#This Row],[Field Name]],Attributes!$A$7:$D$143,4,FALSE)</f>
        <v>0</v>
      </c>
      <c r="J99" s="8" t="str">
        <f>VLOOKUP(Table13[[#This Row],[Field Name]],Table9[],5,)</f>
        <v>employees</v>
      </c>
      <c r="O99" t="str">
        <f t="shared" ref="O99:O128" si="10">PROPER(SUBSTITUTE(SUBSTITUTE(SUBSTITUTE(C99,"_id", ""),"rel_", ""), "_", " " ))</f>
        <v>Employee</v>
      </c>
    </row>
    <row r="100" spans="2:15" ht="15" customHeight="1" x14ac:dyDescent="0.25">
      <c r="B100" s="6" t="s">
        <v>210</v>
      </c>
      <c r="C100" t="s">
        <v>119</v>
      </c>
      <c r="D100" t="s">
        <v>185</v>
      </c>
      <c r="E100" t="str">
        <f>VLOOKUP(Table13[[#This Row],[Field Name]],Attributes!$A$7:$D$143,2,FALSE)</f>
        <v>field_boolean</v>
      </c>
      <c r="G100" s="14">
        <f>VLOOKUP(Table13[[#This Row],[Field Name]],Attributes!$A$7:$D$143,4,FALSE)</f>
        <v>0</v>
      </c>
      <c r="J100" s="8">
        <f>VLOOKUP(Table13[[#This Row],[Field Name]],Table9[],5,)</f>
        <v>0</v>
      </c>
      <c r="O100" t="str">
        <f t="shared" si="10"/>
        <v>Status</v>
      </c>
    </row>
    <row r="101" spans="2:15" ht="15" customHeight="1" x14ac:dyDescent="0.25">
      <c r="B101" s="6" t="s">
        <v>210</v>
      </c>
      <c r="C101" s="7" t="s">
        <v>395</v>
      </c>
      <c r="D101" t="s">
        <v>406</v>
      </c>
      <c r="E101" t="str">
        <f>VLOOKUP(Table13[[#This Row],[Field Name]],Attributes!$A$7:$D$143,2,FALSE)</f>
        <v>field_grid</v>
      </c>
      <c r="G101" s="14">
        <f>VLOOKUP(Table13[[#This Row],[Field Name]],Attributes!$A$7:$D$143,4,FALSE)</f>
        <v>0</v>
      </c>
      <c r="J101" s="8">
        <f>VLOOKUP(Table13[[#This Row],[Field Name]],Table9[],5,)</f>
        <v>0</v>
      </c>
      <c r="O101" t="str">
        <f>PROPER(SUBSTITUTE(SUBSTITUTE(SUBSTITUTE(C101,"_id", ""),"rel_", ""), "_", " " ))</f>
        <v>Psychology Relatives</v>
      </c>
    </row>
    <row r="102" spans="2:15" ht="15" customHeight="1" x14ac:dyDescent="0.25">
      <c r="B102" s="6" t="s">
        <v>210</v>
      </c>
      <c r="C102" s="7" t="s">
        <v>396</v>
      </c>
      <c r="D102" t="s">
        <v>407</v>
      </c>
      <c r="E102" t="str">
        <f>VLOOKUP(Table13[[#This Row],[Field Name]],Attributes!$A$7:$D$143,2,FALSE)</f>
        <v>field_grid</v>
      </c>
      <c r="G102" s="14">
        <f>VLOOKUP(Table13[[#This Row],[Field Name]],Attributes!$A$7:$D$143,4,FALSE)</f>
        <v>0</v>
      </c>
      <c r="J102" s="8">
        <f>VLOOKUP(Table13[[#This Row],[Field Name]],Table9[],5,)</f>
        <v>0</v>
      </c>
      <c r="O102" t="str">
        <f>PROPER(SUBSTITUTE(SUBSTITUTE(SUBSTITUTE(C102,"_id", ""),"rel_", ""), "_", " " ))</f>
        <v>Psychology Drugs</v>
      </c>
    </row>
    <row r="103" spans="2:15" ht="15" customHeight="1" x14ac:dyDescent="0.25">
      <c r="B103" t="s">
        <v>397</v>
      </c>
      <c r="C103" t="s">
        <v>398</v>
      </c>
      <c r="D103" t="s">
        <v>408</v>
      </c>
      <c r="E103" t="str">
        <f>VLOOKUP(Table13[[#This Row],[Field Name]],Attributes!$A$7:$D$143,2,FALSE)</f>
        <v>field_fk</v>
      </c>
      <c r="G103" s="14">
        <f>VLOOKUP(Table13[[#This Row],[Field Name]],Attributes!$A$7:$D$143,4,FALSE)</f>
        <v>0</v>
      </c>
      <c r="J103" s="8" t="str">
        <f>VLOOKUP(Table13[[#This Row],[Field Name]],Table9[],5,)</f>
        <v>psychologies</v>
      </c>
      <c r="O103" t="str">
        <f>PROPER(SUBSTITUTE(SUBSTITUTE(SUBSTITUTE(C103,"_id", ""),"rel_", ""), "_", " " ))</f>
        <v>Psychology</v>
      </c>
    </row>
    <row r="104" spans="2:15" ht="15" customHeight="1" x14ac:dyDescent="0.25">
      <c r="B104" t="s">
        <v>397</v>
      </c>
      <c r="C104" t="s">
        <v>117</v>
      </c>
      <c r="D104" t="s">
        <v>409</v>
      </c>
      <c r="E104" t="str">
        <f>VLOOKUP(Table13[[#This Row],[Field Name]],Attributes!$A$7:$D$143,2,FALSE)</f>
        <v>field_mediumtext</v>
      </c>
      <c r="G104" s="14">
        <f>VLOOKUP(Table13[[#This Row],[Field Name]],Attributes!$A$7:$D$143,4,FALSE)</f>
        <v>0</v>
      </c>
      <c r="J104" s="8">
        <f>VLOOKUP(Table13[[#This Row],[Field Name]],Table9[],5,)</f>
        <v>0</v>
      </c>
      <c r="O104" t="str">
        <f>PROPER(SUBSTITUTE(SUBSTITUTE(SUBSTITUTE(C104,"_id", ""),"rel_", ""), "_", " " ))</f>
        <v>Name</v>
      </c>
    </row>
    <row r="105" spans="2:15" ht="15" customHeight="1" x14ac:dyDescent="0.25">
      <c r="B105" t="s">
        <v>397</v>
      </c>
      <c r="C105" t="s">
        <v>316</v>
      </c>
      <c r="D105" t="s">
        <v>248</v>
      </c>
      <c r="E105" t="str">
        <f>VLOOKUP(Table13[[#This Row],[Field Name]],Attributes!$A$7:$D$143,2,FALSE)</f>
        <v>field_fk</v>
      </c>
      <c r="G105" s="14">
        <f>VLOOKUP(Table13[[#This Row],[Field Name]],Attributes!$A$7:$D$143,4,FALSE)</f>
        <v>0</v>
      </c>
      <c r="J105" s="8">
        <f>VLOOKUP(Table13[[#This Row],[Field Name]],Table9[],5,)</f>
        <v>0</v>
      </c>
      <c r="O105" t="str">
        <f>PROPER(SUBSTITUTE(SUBSTITUTE(SUBSTITUTE(C105,"_id", ""),"rel_", ""), "_", " " ))</f>
        <v>Relative</v>
      </c>
    </row>
    <row r="106" spans="2:15" ht="15" customHeight="1" x14ac:dyDescent="0.25">
      <c r="B106" t="s">
        <v>397</v>
      </c>
      <c r="C106" t="s">
        <v>399</v>
      </c>
      <c r="D106" t="s">
        <v>410</v>
      </c>
      <c r="E106" t="str">
        <f>VLOOKUP(Table13[[#This Row],[Field Name]],Attributes!$A$7:$D$143,2,FALSE)</f>
        <v>field_shorttext</v>
      </c>
      <c r="G106" s="14">
        <f>VLOOKUP(Table13[[#This Row],[Field Name]],Attributes!$A$7:$D$143,4,FALSE)</f>
        <v>0</v>
      </c>
      <c r="J106" s="8">
        <f>VLOOKUP(Table13[[#This Row],[Field Name]],Table9[],5,)</f>
        <v>0</v>
      </c>
      <c r="O106" t="str">
        <f>PROPER(SUBSTITUTE(SUBSTITUTE(SUBSTITUTE(C106,"_id", ""),"rel_", ""), "_", " " ))</f>
        <v>Age</v>
      </c>
    </row>
    <row r="107" spans="2:15" ht="15" customHeight="1" x14ac:dyDescent="0.25">
      <c r="B107" t="s">
        <v>397</v>
      </c>
      <c r="C107" t="s">
        <v>400</v>
      </c>
      <c r="D107" t="s">
        <v>411</v>
      </c>
      <c r="E107" t="str">
        <f>VLOOKUP(Table13[[#This Row],[Field Name]],Attributes!$A$7:$D$143,2,FALSE)</f>
        <v>field_enum</v>
      </c>
      <c r="G107" s="14" t="str">
        <f>VLOOKUP(Table13[[#This Row],[Field Name]],Attributes!$A$7:$D$143,4,FALSE)</f>
        <v>[{ "label": "Estrecha", "value": "Estrecha" },{ "label": "Cercana", "value": "Cercana" },{ "label": "Distante", "value": "Distante" }]</v>
      </c>
      <c r="J107" s="8">
        <f>VLOOKUP(Table13[[#This Row],[Field Name]],Table9[],5,)</f>
        <v>0</v>
      </c>
      <c r="O107" t="str">
        <f>PROPER(SUBSTITUTE(SUBSTITUTE(SUBSTITUTE(C107,"_id", ""),"rel_", ""), "_", " " ))</f>
        <v>Relationship Type</v>
      </c>
    </row>
    <row r="108" spans="2:15" ht="15" customHeight="1" x14ac:dyDescent="0.25">
      <c r="B108" t="s">
        <v>401</v>
      </c>
      <c r="C108" t="s">
        <v>398</v>
      </c>
      <c r="D108" t="s">
        <v>408</v>
      </c>
      <c r="E108" t="str">
        <f>VLOOKUP(Table13[[#This Row],[Field Name]],Attributes!$A$7:$D$143,2,FALSE)</f>
        <v>field_fk</v>
      </c>
      <c r="G108" s="14">
        <f>VLOOKUP(Table13[[#This Row],[Field Name]],Attributes!$A$7:$D$143,4,FALSE)</f>
        <v>0</v>
      </c>
      <c r="J108" s="8" t="str">
        <f>VLOOKUP(Table13[[#This Row],[Field Name]],Table9[],5,)</f>
        <v>psychologies</v>
      </c>
      <c r="O108" t="str">
        <f>PROPER(SUBSTITUTE(SUBSTITUTE(SUBSTITUTE(C108,"_id", ""),"rel_", ""), "_", " " ))</f>
        <v>Psychology</v>
      </c>
    </row>
    <row r="109" spans="2:15" ht="15" customHeight="1" x14ac:dyDescent="0.25">
      <c r="B109" t="s">
        <v>401</v>
      </c>
      <c r="C109" t="s">
        <v>249</v>
      </c>
      <c r="D109" t="s">
        <v>412</v>
      </c>
      <c r="E109" t="str">
        <f>VLOOKUP(Table13[[#This Row],[Field Name]],Attributes!$A$7:$D$143,2,FALSE)</f>
        <v>field_fk</v>
      </c>
      <c r="G109" s="14">
        <f>VLOOKUP(Table13[[#This Row],[Field Name]],Attributes!$A$7:$D$143,4,FALSE)</f>
        <v>0</v>
      </c>
      <c r="J109" s="8" t="str">
        <f>VLOOKUP(Table13[[#This Row],[Field Name]],Table9[],5,)</f>
        <v>drugs</v>
      </c>
      <c r="O109" t="str">
        <f>PROPER(SUBSTITUTE(SUBSTITUTE(SUBSTITUTE(C109,"_id", ""),"rel_", ""), "_", " " ))</f>
        <v>Drug</v>
      </c>
    </row>
    <row r="110" spans="2:15" ht="15" customHeight="1" x14ac:dyDescent="0.25">
      <c r="B110" t="s">
        <v>401</v>
      </c>
      <c r="C110" t="s">
        <v>402</v>
      </c>
      <c r="D110" t="s">
        <v>413</v>
      </c>
      <c r="E110" t="str">
        <f>VLOOKUP(Table13[[#This Row],[Field Name]],Attributes!$A$7:$D$143,2,FALSE)</f>
        <v>field_shorttext</v>
      </c>
      <c r="G110" s="14">
        <f>VLOOKUP(Table13[[#This Row],[Field Name]],Attributes!$A$7:$D$143,4,FALSE)</f>
        <v>0</v>
      </c>
      <c r="J110" s="8">
        <f>VLOOKUP(Table13[[#This Row],[Field Name]],Table9[],5,)</f>
        <v>0</v>
      </c>
      <c r="O110" t="str">
        <f>PROPER(SUBSTITUTE(SUBSTITUTE(SUBSTITUTE(C110,"_id", ""),"rel_", ""), "_", " " ))</f>
        <v>Start Age</v>
      </c>
    </row>
    <row r="111" spans="2:15" ht="15" customHeight="1" x14ac:dyDescent="0.25">
      <c r="B111" t="s">
        <v>401</v>
      </c>
      <c r="C111" t="s">
        <v>403</v>
      </c>
      <c r="D111" t="s">
        <v>414</v>
      </c>
      <c r="E111" t="str">
        <f>VLOOKUP(Table13[[#This Row],[Field Name]],Attributes!$A$7:$D$143,2,FALSE)</f>
        <v>field_mediumtext</v>
      </c>
      <c r="G111" s="14">
        <f>VLOOKUP(Table13[[#This Row],[Field Name]],Attributes!$A$7:$D$143,4,FALSE)</f>
        <v>0</v>
      </c>
      <c r="J111" s="8">
        <f>VLOOKUP(Table13[[#This Row],[Field Name]],Table9[],5,)</f>
        <v>0</v>
      </c>
      <c r="O111" t="str">
        <f>PROPER(SUBSTITUTE(SUBSTITUTE(SUBSTITUTE(C111,"_id", ""),"rel_", ""), "_", " " ))</f>
        <v>Frecuency Of Consumption</v>
      </c>
    </row>
    <row r="112" spans="2:15" ht="15" customHeight="1" x14ac:dyDescent="0.25">
      <c r="B112" t="s">
        <v>401</v>
      </c>
      <c r="C112" t="s">
        <v>404</v>
      </c>
      <c r="D112" t="s">
        <v>415</v>
      </c>
      <c r="E112" t="str">
        <f>VLOOKUP(Table13[[#This Row],[Field Name]],Attributes!$A$7:$D$143,2,FALSE)</f>
        <v>field_shortint</v>
      </c>
      <c r="G112" s="14">
        <f>VLOOKUP(Table13[[#This Row],[Field Name]],Attributes!$A$7:$D$143,4,FALSE)</f>
        <v>0</v>
      </c>
      <c r="J112" s="8">
        <f>VLOOKUP(Table13[[#This Row],[Field Name]],Table9[],5,)</f>
        <v>0</v>
      </c>
      <c r="O112" t="str">
        <f>PROPER(SUBSTITUTE(SUBSTITUTE(SUBSTITUTE(C112,"_id", ""),"rel_", ""), "_", " " ))</f>
        <v>Maximum Abstinence</v>
      </c>
    </row>
    <row r="113" spans="2:15" s="25" customFormat="1" ht="15" customHeight="1" x14ac:dyDescent="0.25">
      <c r="B113" t="s">
        <v>401</v>
      </c>
      <c r="C113" t="s">
        <v>405</v>
      </c>
      <c r="D113" t="s">
        <v>416</v>
      </c>
      <c r="E113" t="str">
        <f>VLOOKUP(Table13[[#This Row],[Field Name]],Attributes!$A$7:$D$143,2,FALSE)</f>
        <v>field_date</v>
      </c>
      <c r="F113"/>
      <c r="G113" s="14">
        <f>VLOOKUP(Table13[[#This Row],[Field Name]],Attributes!$A$7:$D$143,4,FALSE)</f>
        <v>0</v>
      </c>
      <c r="H113" s="8"/>
      <c r="I113" s="8"/>
      <c r="J113" s="8">
        <f>VLOOKUP(Table13[[#This Row],[Field Name]],Table9[],5,)</f>
        <v>0</v>
      </c>
      <c r="K113"/>
      <c r="L113" s="10"/>
      <c r="M113"/>
      <c r="N113"/>
      <c r="O113" t="str">
        <f>PROPER(SUBSTITUTE(SUBSTITUTE(SUBSTITUTE(C113,"_id", ""),"rel_", ""), "_", " " ))</f>
        <v>Consumption Date</v>
      </c>
    </row>
    <row r="114" spans="2:15" s="25" customFormat="1" ht="15" customHeight="1" x14ac:dyDescent="0.25">
      <c r="B114" s="6" t="s">
        <v>211</v>
      </c>
      <c r="C114" t="s">
        <v>114</v>
      </c>
      <c r="D114" t="s">
        <v>183</v>
      </c>
      <c r="E114" t="str">
        <f>VLOOKUP(Table13[[#This Row],[Field Name]],Attributes!$A$7:$D$143,2,FALSE)</f>
        <v>field_shorttext</v>
      </c>
      <c r="F114"/>
      <c r="G114" s="14" t="str">
        <f>VLOOKUP(Table13[[#This Row],[Field Name]],Attributes!$A$7:$D$143,4,FALSE)</f>
        <v xml:space="preserve"> </v>
      </c>
      <c r="H114" s="8"/>
      <c r="I114" s="8"/>
      <c r="J114" s="8">
        <f>VLOOKUP(Table13[[#This Row],[Field Name]],Table9[],5,)</f>
        <v>0</v>
      </c>
      <c r="K114"/>
      <c r="L114" s="10"/>
      <c r="M114"/>
      <c r="N114"/>
      <c r="O114" t="str">
        <f t="shared" si="10"/>
        <v>Code</v>
      </c>
    </row>
    <row r="115" spans="2:15" s="25" customFormat="1" ht="15" customHeight="1" x14ac:dyDescent="0.25">
      <c r="B115" s="6" t="s">
        <v>211</v>
      </c>
      <c r="C115" t="s">
        <v>312</v>
      </c>
      <c r="D115" t="s">
        <v>313</v>
      </c>
      <c r="E115" t="str">
        <f>VLOOKUP(Table13[[#This Row],[Field Name]],Attributes!$A$7:$D$143,2,FALSE)</f>
        <v>field_fk</v>
      </c>
      <c r="F115"/>
      <c r="G115" s="14">
        <f>VLOOKUP(Table13[[#This Row],[Field Name]],Attributes!$A$7:$D$143,4,FALSE)</f>
        <v>0</v>
      </c>
      <c r="H115" s="8"/>
      <c r="I115" s="8"/>
      <c r="J115" s="8">
        <f>VLOOKUP(Table13[[#This Row],[Field Name]],Table9[],5,)</f>
        <v>0</v>
      </c>
      <c r="K115"/>
      <c r="L115" s="10"/>
      <c r="M115"/>
      <c r="N115"/>
      <c r="O115" t="str">
        <f t="shared" si="10"/>
        <v>Patient</v>
      </c>
    </row>
    <row r="116" spans="2:15" ht="15" customHeight="1" x14ac:dyDescent="0.25">
      <c r="B116" s="6" t="s">
        <v>211</v>
      </c>
      <c r="C116" t="s">
        <v>132</v>
      </c>
      <c r="D116" t="s">
        <v>366</v>
      </c>
      <c r="E116" t="str">
        <f>VLOOKUP(Table13[[#This Row],[Field Name]],Attributes!$A$7:$D$143,2,FALSE)</f>
        <v>field_fk</v>
      </c>
      <c r="G116" s="14">
        <f>VLOOKUP(Table13[[#This Row],[Field Name]],Attributes!$A$7:$D$143,4,FALSE)</f>
        <v>0</v>
      </c>
      <c r="J116" s="8" t="str">
        <f>VLOOKUP(Table13[[#This Row],[Field Name]],Table9[],5,)</f>
        <v>employees</v>
      </c>
      <c r="O116" t="str">
        <f t="shared" si="10"/>
        <v>Employee</v>
      </c>
    </row>
    <row r="117" spans="2:15" ht="15" customHeight="1" x14ac:dyDescent="0.25">
      <c r="B117" s="6" t="s">
        <v>211</v>
      </c>
      <c r="C117" t="s">
        <v>367</v>
      </c>
      <c r="D117" t="s">
        <v>368</v>
      </c>
      <c r="E117" t="str">
        <f>VLOOKUP(Table13[[#This Row],[Field Name]],Attributes!$A$7:$D$143,2,FALSE)</f>
        <v>field_datetime</v>
      </c>
      <c r="G117" s="14">
        <f>VLOOKUP(Table13[[#This Row],[Field Name]],Attributes!$A$7:$D$143,4,FALSE)</f>
        <v>0</v>
      </c>
      <c r="J117" s="8">
        <f>VLOOKUP(Table13[[#This Row],[Field Name]],Table9[],5,)</f>
        <v>0</v>
      </c>
      <c r="O117" t="str">
        <f t="shared" si="10"/>
        <v>Date Of Evolution</v>
      </c>
    </row>
    <row r="118" spans="2:15" ht="15" customHeight="1" x14ac:dyDescent="0.25">
      <c r="B118" s="6" t="s">
        <v>211</v>
      </c>
      <c r="C118" t="s">
        <v>369</v>
      </c>
      <c r="D118" t="s">
        <v>370</v>
      </c>
      <c r="E118" t="str">
        <f>VLOOKUP(Table13[[#This Row],[Field Name]],Attributes!$A$7:$D$143,2,FALSE)</f>
        <v>field_shorttext</v>
      </c>
      <c r="G118" s="14">
        <f>VLOOKUP(Table13[[#This Row],[Field Name]],Attributes!$A$7:$D$143,4,FALSE)</f>
        <v>0</v>
      </c>
      <c r="J118" s="8">
        <f>VLOOKUP(Table13[[#This Row],[Field Name]],Table9[],5,)</f>
        <v>0</v>
      </c>
      <c r="O118" t="str">
        <f t="shared" si="10"/>
        <v>Area</v>
      </c>
    </row>
    <row r="119" spans="2:15" ht="15" customHeight="1" x14ac:dyDescent="0.25">
      <c r="B119" s="6" t="s">
        <v>211</v>
      </c>
      <c r="C119" t="s">
        <v>276</v>
      </c>
      <c r="D119" t="s">
        <v>371</v>
      </c>
      <c r="E119" t="str">
        <f>VLOOKUP(Table13[[#This Row],[Field Name]],Attributes!$A$7:$D$143,2,FALSE)</f>
        <v>field_xlongtext</v>
      </c>
      <c r="G119" s="14">
        <f>VLOOKUP(Table13[[#This Row],[Field Name]],Attributes!$A$7:$D$143,4,FALSE)</f>
        <v>0</v>
      </c>
      <c r="J119" s="8">
        <f>VLOOKUP(Table13[[#This Row],[Field Name]],Table9[],5,)</f>
        <v>0</v>
      </c>
      <c r="O119" t="str">
        <f t="shared" si="10"/>
        <v>Comments</v>
      </c>
    </row>
    <row r="120" spans="2:15" ht="15" customHeight="1" x14ac:dyDescent="0.25">
      <c r="B120" s="6" t="s">
        <v>211</v>
      </c>
      <c r="C120" t="s">
        <v>119</v>
      </c>
      <c r="D120" t="s">
        <v>185</v>
      </c>
      <c r="E120" t="str">
        <f>VLOOKUP(Table13[[#This Row],[Field Name]],Attributes!$A$7:$D$143,2,FALSE)</f>
        <v>field_boolean</v>
      </c>
      <c r="G120" s="14">
        <f>VLOOKUP(Table13[[#This Row],[Field Name]],Attributes!$A$7:$D$143,4,FALSE)</f>
        <v>0</v>
      </c>
      <c r="J120" s="8">
        <f>VLOOKUP(Table13[[#This Row],[Field Name]],Table9[],5,)</f>
        <v>0</v>
      </c>
      <c r="O120" t="str">
        <f t="shared" si="10"/>
        <v>Status</v>
      </c>
    </row>
    <row r="121" spans="2:15" ht="15" customHeight="1" x14ac:dyDescent="0.25">
      <c r="B121" s="6" t="s">
        <v>212</v>
      </c>
      <c r="C121" t="s">
        <v>114</v>
      </c>
      <c r="D121" t="s">
        <v>183</v>
      </c>
      <c r="E121" t="str">
        <f>VLOOKUP(Table13[[#This Row],[Field Name]],Attributes!$A$7:$D$143,2,FALSE)</f>
        <v>field_shorttext</v>
      </c>
      <c r="G121" s="14" t="str">
        <f>VLOOKUP(Table13[[#This Row],[Field Name]],Attributes!$A$7:$D$143,4,FALSE)</f>
        <v xml:space="preserve"> </v>
      </c>
      <c r="J121" s="8">
        <f>VLOOKUP(Table13[[#This Row],[Field Name]],Table9[],5,)</f>
        <v>0</v>
      </c>
      <c r="O121" t="str">
        <f t="shared" si="10"/>
        <v>Code</v>
      </c>
    </row>
    <row r="122" spans="2:15" ht="15" customHeight="1" x14ac:dyDescent="0.25">
      <c r="B122" s="6" t="s">
        <v>212</v>
      </c>
      <c r="C122" t="s">
        <v>117</v>
      </c>
      <c r="D122" t="s">
        <v>372</v>
      </c>
      <c r="E122" t="str">
        <f>VLOOKUP(Table13[[#This Row],[Field Name]],Attributes!$A$7:$D$143,2,FALSE)</f>
        <v>field_mediumtext</v>
      </c>
      <c r="G122" s="14">
        <f>VLOOKUP(Table13[[#This Row],[Field Name]],Attributes!$A$7:$D$143,4,FALSE)</f>
        <v>0</v>
      </c>
      <c r="J122" s="8">
        <f>VLOOKUP(Table13[[#This Row],[Field Name]],Table9[],5,)</f>
        <v>0</v>
      </c>
      <c r="O122" t="str">
        <f t="shared" si="10"/>
        <v>Name</v>
      </c>
    </row>
    <row r="123" spans="2:15" ht="15" customHeight="1" x14ac:dyDescent="0.25">
      <c r="B123" s="6" t="s">
        <v>212</v>
      </c>
      <c r="C123" t="s">
        <v>119</v>
      </c>
      <c r="D123" t="s">
        <v>185</v>
      </c>
      <c r="E123" t="str">
        <f>VLOOKUP(Table13[[#This Row],[Field Name]],Attributes!$A$7:$D$143,2,FALSE)</f>
        <v>field_boolean</v>
      </c>
      <c r="G123" s="14">
        <f>VLOOKUP(Table13[[#This Row],[Field Name]],Attributes!$A$7:$D$143,4,FALSE)</f>
        <v>0</v>
      </c>
      <c r="J123" s="8">
        <f>VLOOKUP(Table13[[#This Row],[Field Name]],Table9[],5,)</f>
        <v>0</v>
      </c>
      <c r="O123" t="str">
        <f t="shared" si="10"/>
        <v>Status</v>
      </c>
    </row>
    <row r="124" spans="2:15" ht="15" customHeight="1" x14ac:dyDescent="0.25">
      <c r="B124" s="6" t="s">
        <v>212</v>
      </c>
      <c r="C124" s="7" t="s">
        <v>394</v>
      </c>
      <c r="D124" t="s">
        <v>223</v>
      </c>
      <c r="E124" t="str">
        <f>VLOOKUP(Table13[[#This Row],[Field Name]],Attributes!$A$7:$D$143,2,FALSE)</f>
        <v>field_grid</v>
      </c>
      <c r="G124" s="14">
        <f>VLOOKUP(Table13[[#This Row],[Field Name]],Attributes!$A$7:$D$143,4,FALSE)</f>
        <v>0</v>
      </c>
      <c r="J124" s="8">
        <f>VLOOKUP(Table13[[#This Row],[Field Name]],Table9[],5,)</f>
        <v>0</v>
      </c>
      <c r="O124" t="str">
        <f>PROPER(SUBSTITUTE(SUBSTITUTE(SUBSTITUTE(C124,"_id", ""),"rel_", ""), "_", " " ))</f>
        <v>Targets</v>
      </c>
    </row>
    <row r="125" spans="2:15" ht="15" customHeight="1" x14ac:dyDescent="0.25">
      <c r="B125" t="s">
        <v>213</v>
      </c>
      <c r="C125" t="s">
        <v>114</v>
      </c>
      <c r="D125" t="s">
        <v>183</v>
      </c>
      <c r="E125" t="str">
        <f>VLOOKUP(Table13[[#This Row],[Field Name]],Attributes!$A$7:$D$143,2,FALSE)</f>
        <v>field_shorttext</v>
      </c>
      <c r="G125" s="14" t="str">
        <f>VLOOKUP(Table13[[#This Row],[Field Name]],Attributes!$A$7:$D$143,4,FALSE)</f>
        <v xml:space="preserve"> </v>
      </c>
      <c r="J125" s="8">
        <f>VLOOKUP(Table13[[#This Row],[Field Name]],Table9[],5,)</f>
        <v>0</v>
      </c>
      <c r="O125" t="str">
        <f t="shared" si="10"/>
        <v>Code</v>
      </c>
    </row>
    <row r="126" spans="2:15" ht="15" customHeight="1" x14ac:dyDescent="0.25">
      <c r="B126" s="25" t="s">
        <v>213</v>
      </c>
      <c r="C126" s="25" t="s">
        <v>117</v>
      </c>
      <c r="D126" s="25" t="s">
        <v>372</v>
      </c>
      <c r="E126" s="25" t="str">
        <f>VLOOKUP(Table13[[#This Row],[Field Name]],Attributes!$A$7:$D$143,2,FALSE)</f>
        <v>field_mediumtext</v>
      </c>
      <c r="F126" s="25"/>
      <c r="G126" s="26">
        <f>VLOOKUP(Table13[[#This Row],[Field Name]],Attributes!$A$7:$D$143,4,FALSE)</f>
        <v>0</v>
      </c>
      <c r="H126" s="27"/>
      <c r="I126" s="27"/>
      <c r="J126" s="27">
        <f>VLOOKUP(Table13[[#This Row],[Field Name]],Table9[],5,)</f>
        <v>0</v>
      </c>
      <c r="K126" s="25"/>
      <c r="L126" s="28"/>
      <c r="M126" s="25"/>
      <c r="N126" s="25"/>
      <c r="O126" s="25" t="str">
        <f t="shared" si="10"/>
        <v>Name</v>
      </c>
    </row>
    <row r="127" spans="2:15" ht="15" customHeight="1" x14ac:dyDescent="0.25">
      <c r="B127" s="25" t="s">
        <v>213</v>
      </c>
      <c r="C127" s="25" t="s">
        <v>373</v>
      </c>
      <c r="D127" s="25" t="s">
        <v>374</v>
      </c>
      <c r="E127" s="25" t="str">
        <f>VLOOKUP(Table13[[#This Row],[Field Name]],Attributes!$A$7:$D$143,2,FALSE)</f>
        <v>field_fk</v>
      </c>
      <c r="F127" s="25"/>
      <c r="G127" s="26">
        <f>VLOOKUP(Table13[[#This Row],[Field Name]],Attributes!$A$7:$D$143,4,FALSE)</f>
        <v>0</v>
      </c>
      <c r="H127" s="27"/>
      <c r="I127" s="27"/>
      <c r="J127" s="27" t="str">
        <f>VLOOKUP(Table13[[#This Row],[Field Name]],Table9[],5,)</f>
        <v>phases</v>
      </c>
      <c r="K127" s="25"/>
      <c r="L127" s="28"/>
      <c r="M127" s="25"/>
      <c r="N127" s="25"/>
      <c r="O127" s="25" t="str">
        <f t="shared" si="10"/>
        <v>Phase</v>
      </c>
    </row>
    <row r="128" spans="2:15" ht="15" customHeight="1" x14ac:dyDescent="0.25">
      <c r="B128" s="25" t="s">
        <v>213</v>
      </c>
      <c r="C128" s="25" t="s">
        <v>119</v>
      </c>
      <c r="D128" s="25" t="s">
        <v>185</v>
      </c>
      <c r="E128" s="25" t="str">
        <f>VLOOKUP(Table13[[#This Row],[Field Name]],Attributes!$A$7:$D$143,2,FALSE)</f>
        <v>field_boolean</v>
      </c>
      <c r="F128" s="25"/>
      <c r="G128" s="26">
        <f>VLOOKUP(Table13[[#This Row],[Field Name]],Attributes!$A$7:$D$143,4,FALSE)</f>
        <v>0</v>
      </c>
      <c r="H128" s="27"/>
      <c r="I128" s="27"/>
      <c r="J128" s="27">
        <f>VLOOKUP(Table13[[#This Row],[Field Name]],Table9[],5,)</f>
        <v>0</v>
      </c>
      <c r="K128" s="25"/>
      <c r="L128" s="28"/>
      <c r="M128" s="25"/>
      <c r="N128" s="25"/>
      <c r="O128" s="25" t="str">
        <f t="shared" si="10"/>
        <v>Status</v>
      </c>
    </row>
    <row r="129" spans="2:15" ht="15" customHeight="1" x14ac:dyDescent="0.25">
      <c r="B129" t="s">
        <v>214</v>
      </c>
      <c r="C129" t="s">
        <v>114</v>
      </c>
      <c r="D129" t="s">
        <v>183</v>
      </c>
      <c r="E129" t="str">
        <f>VLOOKUP(Table13[[#This Row],[Field Name]],Attributes!$A$7:$D$143,2,FALSE)</f>
        <v>field_shorttext</v>
      </c>
      <c r="G129" s="14" t="str">
        <f>VLOOKUP(Table13[[#This Row],[Field Name]],Attributes!$A$7:$D$143,4,FALSE)</f>
        <v xml:space="preserve"> </v>
      </c>
      <c r="J129" s="8">
        <f>VLOOKUP(Table13[[#This Row],[Field Name]],Table9[],5,)</f>
        <v>0</v>
      </c>
      <c r="O129" t="str">
        <f>PROPER(SUBSTITUTE(SUBSTITUTE(SUBSTITUTE(C130,"_id", ""),"rel_", ""), "_", " " ))</f>
        <v>Patient</v>
      </c>
    </row>
    <row r="130" spans="2:15" ht="15" customHeight="1" x14ac:dyDescent="0.25">
      <c r="B130" t="s">
        <v>214</v>
      </c>
      <c r="C130" t="s">
        <v>312</v>
      </c>
      <c r="D130" t="s">
        <v>313</v>
      </c>
      <c r="E130" t="str">
        <f>VLOOKUP(Table13[[#This Row],[Field Name]],Attributes!$A$7:$D$143,2,FALSE)</f>
        <v>field_fk</v>
      </c>
      <c r="G130" s="14">
        <f>VLOOKUP(Table13[[#This Row],[Field Name]],Attributes!$A$7:$D$143,4,FALSE)</f>
        <v>0</v>
      </c>
      <c r="J130" s="8">
        <f>VLOOKUP(Table13[[#This Row],[Field Name]],Table9[],5,)</f>
        <v>0</v>
      </c>
      <c r="O130" t="e">
        <f>PROPER(SUBSTITUTE(SUBSTITUTE(SUBSTITUTE(#REF!,"_id", ""),"rel_", ""), "_", " " ))</f>
        <v>#REF!</v>
      </c>
    </row>
    <row r="131" spans="2:15" ht="15" customHeight="1" x14ac:dyDescent="0.25">
      <c r="B131" t="s">
        <v>214</v>
      </c>
      <c r="C131" t="s">
        <v>375</v>
      </c>
      <c r="D131" t="s">
        <v>376</v>
      </c>
      <c r="E131" t="str">
        <f>VLOOKUP(Table13[[#This Row],[Field Name]],Attributes!$A$7:$D$143,2,FALSE)</f>
        <v>field_datetime</v>
      </c>
      <c r="G131" s="14">
        <f>VLOOKUP(Table13[[#This Row],[Field Name]],Attributes!$A$7:$D$143,4,FALSE)</f>
        <v>0</v>
      </c>
      <c r="J131" s="8">
        <f>VLOOKUP(Table13[[#This Row],[Field Name]],Table9[],5,)</f>
        <v>0</v>
      </c>
      <c r="O131" t="str">
        <f t="shared" ref="O131:O141" si="11">PROPER(SUBSTITUTE(SUBSTITUTE(SUBSTITUTE(C131,"_id", ""),"rel_", ""), "_", " " ))</f>
        <v>Creation Date</v>
      </c>
    </row>
    <row r="132" spans="2:15" ht="15" customHeight="1" x14ac:dyDescent="0.25">
      <c r="B132" t="s">
        <v>214</v>
      </c>
      <c r="C132" t="s">
        <v>373</v>
      </c>
      <c r="D132" t="s">
        <v>374</v>
      </c>
      <c r="E132" t="str">
        <f>VLOOKUP(Table13[[#This Row],[Field Name]],Attributes!$A$7:$D$143,2,FALSE)</f>
        <v>field_fk</v>
      </c>
      <c r="G132" s="14">
        <f>VLOOKUP(Table13[[#This Row],[Field Name]],Attributes!$A$7:$D$143,4,FALSE)</f>
        <v>0</v>
      </c>
      <c r="J132" s="8" t="str">
        <f>VLOOKUP(Table13[[#This Row],[Field Name]],Table9[],5,)</f>
        <v>phases</v>
      </c>
      <c r="O132" t="str">
        <f t="shared" si="11"/>
        <v>Phase</v>
      </c>
    </row>
    <row r="133" spans="2:15" ht="15" customHeight="1" x14ac:dyDescent="0.25">
      <c r="B133" t="s">
        <v>214</v>
      </c>
      <c r="C133" t="s">
        <v>377</v>
      </c>
      <c r="D133" t="s">
        <v>378</v>
      </c>
      <c r="E133" t="str">
        <f>VLOOKUP(Table13[[#This Row],[Field Name]],Attributes!$A$7:$D$143,2,FALSE)</f>
        <v>field_fk</v>
      </c>
      <c r="G133" s="14">
        <f>VLOOKUP(Table13[[#This Row],[Field Name]],Attributes!$A$7:$D$143,4,FALSE)</f>
        <v>0</v>
      </c>
      <c r="J133" s="8" t="str">
        <f>VLOOKUP(Table13[[#This Row],[Field Name]],Table9[],5,)</f>
        <v>targets</v>
      </c>
      <c r="O133" t="str">
        <f t="shared" si="11"/>
        <v>Target</v>
      </c>
    </row>
    <row r="134" spans="2:15" ht="15" customHeight="1" x14ac:dyDescent="0.25">
      <c r="B134" t="s">
        <v>214</v>
      </c>
      <c r="C134" t="s">
        <v>379</v>
      </c>
      <c r="D134" t="s">
        <v>381</v>
      </c>
      <c r="E134" t="str">
        <f>VLOOKUP(Table13[[#This Row],[Field Name]],Attributes!$A$7:$D$143,2,FALSE)</f>
        <v>field_datetime</v>
      </c>
      <c r="G134" s="14">
        <f>VLOOKUP(Table13[[#This Row],[Field Name]],Attributes!$A$7:$D$143,4,FALSE)</f>
        <v>0</v>
      </c>
      <c r="J134" s="8">
        <f>VLOOKUP(Table13[[#This Row],[Field Name]],Table9[],5,)</f>
        <v>0</v>
      </c>
      <c r="O134" t="str">
        <f t="shared" si="11"/>
        <v>Start Date</v>
      </c>
    </row>
    <row r="135" spans="2:15" ht="15" customHeight="1" x14ac:dyDescent="0.25">
      <c r="B135" t="s">
        <v>214</v>
      </c>
      <c r="C135" t="s">
        <v>264</v>
      </c>
      <c r="D135" t="s">
        <v>380</v>
      </c>
      <c r="E135" t="str">
        <f>VLOOKUP(Table13[[#This Row],[Field Name]],Attributes!$A$7:$D$143,2,FALSE)</f>
        <v>field_datetime</v>
      </c>
      <c r="G135" s="14">
        <f>VLOOKUP(Table13[[#This Row],[Field Name]],Attributes!$A$7:$D$143,4,FALSE)</f>
        <v>0</v>
      </c>
      <c r="J135" s="8">
        <f>VLOOKUP(Table13[[#This Row],[Field Name]],Table9[],5,)</f>
        <v>0</v>
      </c>
      <c r="O135" t="str">
        <f t="shared" si="11"/>
        <v>End Date</v>
      </c>
    </row>
    <row r="136" spans="2:15" ht="15" customHeight="1" x14ac:dyDescent="0.25">
      <c r="B136" t="s">
        <v>214</v>
      </c>
      <c r="C136" t="s">
        <v>382</v>
      </c>
      <c r="D136" t="s">
        <v>383</v>
      </c>
      <c r="E136" t="str">
        <f>VLOOKUP(Table13[[#This Row],[Field Name]],Attributes!$A$7:$D$143,2,FALSE)</f>
        <v>field_xlongtext</v>
      </c>
      <c r="G136" s="14">
        <f>VLOOKUP(Table13[[#This Row],[Field Name]],Attributes!$A$7:$D$143,4,FALSE)</f>
        <v>0</v>
      </c>
      <c r="J136" s="8">
        <f>VLOOKUP(Table13[[#This Row],[Field Name]],Table9[],5,)</f>
        <v>0</v>
      </c>
      <c r="O136" t="str">
        <f t="shared" si="11"/>
        <v>Clinical Team</v>
      </c>
    </row>
    <row r="137" spans="2:15" ht="15" customHeight="1" x14ac:dyDescent="0.25">
      <c r="B137" t="s">
        <v>214</v>
      </c>
      <c r="C137" t="s">
        <v>385</v>
      </c>
      <c r="D137" t="s">
        <v>384</v>
      </c>
      <c r="E137" t="str">
        <f>VLOOKUP(Table13[[#This Row],[Field Name]],Attributes!$A$7:$D$143,2,FALSE)</f>
        <v>field_xlongtext</v>
      </c>
      <c r="G137" s="14">
        <f>VLOOKUP(Table13[[#This Row],[Field Name]],Attributes!$A$7:$D$143,4,FALSE)</f>
        <v>0</v>
      </c>
      <c r="J137" s="8">
        <f>VLOOKUP(Table13[[#This Row],[Field Name]],Table9[],5,)</f>
        <v>0</v>
      </c>
      <c r="O137" t="str">
        <f t="shared" si="11"/>
        <v>Achievement</v>
      </c>
    </row>
    <row r="138" spans="2:15" ht="15" customHeight="1" x14ac:dyDescent="0.25">
      <c r="B138" t="s">
        <v>214</v>
      </c>
      <c r="C138" t="s">
        <v>386</v>
      </c>
      <c r="D138" t="s">
        <v>387</v>
      </c>
      <c r="E138" t="str">
        <f>VLOOKUP(Table13[[#This Row],[Field Name]],Attributes!$A$7:$D$143,2,FALSE)</f>
        <v>field_xlongtext</v>
      </c>
      <c r="G138" s="14">
        <f>VLOOKUP(Table13[[#This Row],[Field Name]],Attributes!$A$7:$D$143,4,FALSE)</f>
        <v>0</v>
      </c>
      <c r="J138" s="8">
        <f>VLOOKUP(Table13[[#This Row],[Field Name]],Table9[],5,)</f>
        <v>0</v>
      </c>
      <c r="O138" t="str">
        <f t="shared" si="11"/>
        <v>Strategy</v>
      </c>
    </row>
    <row r="139" spans="2:15" ht="15" customHeight="1" x14ac:dyDescent="0.25">
      <c r="B139" t="s">
        <v>214</v>
      </c>
      <c r="C139" t="s">
        <v>389</v>
      </c>
      <c r="D139" s="21" t="s">
        <v>388</v>
      </c>
      <c r="E139" t="str">
        <f>VLOOKUP(Table13[[#This Row],[Field Name]],Attributes!$A$7:$D$143,2,FALSE)</f>
        <v>field_xlongtext</v>
      </c>
      <c r="G139" s="14">
        <f>VLOOKUP(Table13[[#This Row],[Field Name]],Attributes!$A$7:$D$143,4,FALSE)</f>
        <v>0</v>
      </c>
      <c r="J139" s="8">
        <f>VLOOKUP(Table13[[#This Row],[Field Name]],Table9[],5,)</f>
        <v>0</v>
      </c>
      <c r="O139" t="str">
        <f t="shared" si="11"/>
        <v>Requirement</v>
      </c>
    </row>
    <row r="140" spans="2:15" ht="15" customHeight="1" x14ac:dyDescent="0.25">
      <c r="B140" t="s">
        <v>214</v>
      </c>
      <c r="C140" t="s">
        <v>390</v>
      </c>
      <c r="D140" s="21" t="s">
        <v>393</v>
      </c>
      <c r="E140" t="str">
        <f>VLOOKUP(Table13[[#This Row],[Field Name]],Attributes!$A$7:$D$143,2,FALSE)</f>
        <v>field_enum</v>
      </c>
      <c r="G140" s="14" t="str">
        <f>VLOOKUP(Table13[[#This Row],[Field Name]],Attributes!$A$7:$D$143,4,FALSE)</f>
        <v>[{ "label": "Positivo", "value": "Positivo" },{ "label": "Negativo", "value": "Negativo" },{ "label": "Observacion", "value": "Observacion" }]</v>
      </c>
      <c r="J140" s="8">
        <f>VLOOKUP(Table13[[#This Row],[Field Name]],Table9[],5,)</f>
        <v>0</v>
      </c>
      <c r="O140" t="str">
        <f t="shared" si="11"/>
        <v>Test</v>
      </c>
    </row>
    <row r="141" spans="2:15" ht="15" customHeight="1" x14ac:dyDescent="0.25">
      <c r="B141" t="s">
        <v>214</v>
      </c>
      <c r="C141" t="s">
        <v>119</v>
      </c>
      <c r="D141" t="s">
        <v>185</v>
      </c>
      <c r="E141" t="str">
        <f>VLOOKUP(Table13[[#This Row],[Field Name]],Attributes!$A$7:$D$143,2,FALSE)</f>
        <v>field_boolean</v>
      </c>
      <c r="G141" s="14">
        <f>VLOOKUP(Table13[[#This Row],[Field Name]],Attributes!$A$7:$D$143,4,FALSE)</f>
        <v>0</v>
      </c>
      <c r="J141" s="8">
        <f>VLOOKUP(Table13[[#This Row],[Field Name]],Table9[],5,)</f>
        <v>0</v>
      </c>
      <c r="O141" t="str">
        <f t="shared" si="11"/>
        <v>Status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F563513-59E9-4406-9F7E-345C7C6149B5}">
          <x14:formula1>
            <xm:f>Lists!$I$3:$I$5</xm:f>
          </x14:formula1>
          <xm:sqref>H6:H141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329A2-0C51-49A1-B9E5-BE2F070C9663}">
  <sheetPr codeName="Sheet5">
    <tabColor rgb="FFFF0000"/>
  </sheetPr>
  <dimension ref="A1:R557"/>
  <sheetViews>
    <sheetView topLeftCell="A117" zoomScale="130" zoomScaleNormal="130" workbookViewId="0">
      <selection activeCell="B144" sqref="B144"/>
    </sheetView>
  </sheetViews>
  <sheetFormatPr defaultColWidth="14.42578125" defaultRowHeight="15" customHeight="1" x14ac:dyDescent="0.25"/>
  <cols>
    <col min="1" max="1" width="30.85546875" customWidth="1"/>
    <col min="2" max="2" width="19.28515625" customWidth="1"/>
    <col min="3" max="3" width="16.5703125" customWidth="1"/>
    <col min="4" max="4" width="76.42578125" customWidth="1"/>
    <col min="5" max="5" width="17" customWidth="1"/>
    <col min="6" max="6" width="16" customWidth="1"/>
    <col min="7" max="7" width="15.5703125" customWidth="1"/>
    <col min="8" max="8" width="17.42578125" customWidth="1"/>
    <col min="9" max="9" width="16.5703125" customWidth="1"/>
    <col min="10" max="10" width="17" customWidth="1"/>
    <col min="11" max="11" width="16.5703125" customWidth="1"/>
    <col min="12" max="12" width="19.42578125" customWidth="1"/>
    <col min="13" max="20" width="11.42578125" customWidth="1"/>
  </cols>
  <sheetData>
    <row r="1" spans="1:18" ht="14.25" customHeight="1" x14ac:dyDescent="0.25">
      <c r="R1" s="3"/>
    </row>
    <row r="2" spans="1:18" ht="14.25" customHeight="1" x14ac:dyDescent="0.25">
      <c r="R2" s="3"/>
    </row>
    <row r="3" spans="1:18" ht="14.25" customHeight="1" x14ac:dyDescent="0.25">
      <c r="R3" s="3"/>
    </row>
    <row r="4" spans="1:18" ht="14.25" customHeight="1" x14ac:dyDescent="0.25">
      <c r="R4" s="3"/>
    </row>
    <row r="5" spans="1:18" ht="14.25" customHeight="1" x14ac:dyDescent="0.3">
      <c r="A5" s="4" t="s">
        <v>91</v>
      </c>
      <c r="B5" s="4"/>
      <c r="R5" s="3"/>
    </row>
    <row r="6" spans="1:18" ht="14.25" customHeight="1" x14ac:dyDescent="0.25">
      <c r="A6" t="s">
        <v>3</v>
      </c>
      <c r="B6" t="s">
        <v>4</v>
      </c>
      <c r="C6" t="s">
        <v>5</v>
      </c>
      <c r="D6" s="5" t="s">
        <v>6</v>
      </c>
      <c r="E6" t="s">
        <v>166</v>
      </c>
      <c r="Q6" s="3"/>
    </row>
    <row r="7" spans="1:18" ht="14.25" customHeight="1" x14ac:dyDescent="0.25">
      <c r="A7" t="s">
        <v>114</v>
      </c>
      <c r="B7" t="s">
        <v>7</v>
      </c>
      <c r="D7" s="5" t="s">
        <v>52</v>
      </c>
      <c r="Q7" s="3"/>
    </row>
    <row r="8" spans="1:18" ht="14.25" customHeight="1" x14ac:dyDescent="0.25">
      <c r="A8" t="s">
        <v>117</v>
      </c>
      <c r="B8" t="s">
        <v>9</v>
      </c>
      <c r="D8" s="5"/>
      <c r="F8">
        <f>5000000*0.4</f>
        <v>2000000</v>
      </c>
      <c r="Q8" s="3"/>
    </row>
    <row r="9" spans="1:18" ht="14.25" customHeight="1" x14ac:dyDescent="0.25">
      <c r="A9" t="s">
        <v>119</v>
      </c>
      <c r="B9" t="s">
        <v>16</v>
      </c>
      <c r="C9">
        <v>1</v>
      </c>
      <c r="D9" s="5"/>
      <c r="F9">
        <f>F8*(0.16+0.125)</f>
        <v>570000.00000000012</v>
      </c>
      <c r="Q9" s="3"/>
    </row>
    <row r="10" spans="1:18" ht="14.25" customHeight="1" x14ac:dyDescent="0.25">
      <c r="A10" t="s">
        <v>136</v>
      </c>
      <c r="B10" t="s">
        <v>10</v>
      </c>
      <c r="D10" s="5"/>
      <c r="F10">
        <f>5000000*0.15</f>
        <v>750000</v>
      </c>
      <c r="Q10" s="3"/>
    </row>
    <row r="11" spans="1:18" ht="14.25" customHeight="1" x14ac:dyDescent="0.25">
      <c r="A11" t="s">
        <v>137</v>
      </c>
      <c r="B11" t="s">
        <v>10</v>
      </c>
      <c r="D11" s="11"/>
      <c r="F11">
        <f>5000000-F9-F10</f>
        <v>3680000</v>
      </c>
      <c r="Q11" s="3"/>
    </row>
    <row r="12" spans="1:18" ht="14.25" customHeight="1" x14ac:dyDescent="0.25">
      <c r="A12" t="s">
        <v>138</v>
      </c>
      <c r="B12" t="s">
        <v>16</v>
      </c>
      <c r="D12" s="11"/>
      <c r="Q12" s="3"/>
    </row>
    <row r="13" spans="1:18" ht="14.25" customHeight="1" x14ac:dyDescent="0.25">
      <c r="A13" t="s">
        <v>160</v>
      </c>
      <c r="B13" t="s">
        <v>81</v>
      </c>
      <c r="D13" s="5"/>
      <c r="E13" t="s">
        <v>99</v>
      </c>
      <c r="Q13" s="3"/>
    </row>
    <row r="14" spans="1:18" ht="14.25" customHeight="1" x14ac:dyDescent="0.25">
      <c r="A14" t="s">
        <v>112</v>
      </c>
      <c r="B14" t="s">
        <v>11</v>
      </c>
      <c r="D14" s="5" t="s">
        <v>175</v>
      </c>
      <c r="Q14" s="3"/>
    </row>
    <row r="15" spans="1:18" ht="14.25" customHeight="1" x14ac:dyDescent="0.25">
      <c r="A15" t="s">
        <v>118</v>
      </c>
      <c r="B15" t="s">
        <v>7</v>
      </c>
      <c r="D15" s="5"/>
      <c r="R15" s="3"/>
    </row>
    <row r="16" spans="1:18" ht="14.25" customHeight="1" x14ac:dyDescent="0.25">
      <c r="A16" t="s">
        <v>140</v>
      </c>
      <c r="B16" t="s">
        <v>81</v>
      </c>
      <c r="D16" s="5"/>
      <c r="E16" t="s">
        <v>139</v>
      </c>
      <c r="R16" s="3"/>
    </row>
    <row r="17" spans="1:18" ht="14.25" customHeight="1" x14ac:dyDescent="0.25">
      <c r="A17" t="s">
        <v>128</v>
      </c>
      <c r="B17" t="s">
        <v>17</v>
      </c>
      <c r="D17" s="5"/>
      <c r="R17" s="3"/>
    </row>
    <row r="18" spans="1:18" ht="14.25" customHeight="1" x14ac:dyDescent="0.25">
      <c r="A18" t="s">
        <v>120</v>
      </c>
      <c r="B18" t="s">
        <v>10</v>
      </c>
      <c r="D18" s="5"/>
      <c r="R18" s="3"/>
    </row>
    <row r="19" spans="1:18" ht="14.25" customHeight="1" x14ac:dyDescent="0.25">
      <c r="A19" t="s">
        <v>115</v>
      </c>
      <c r="B19" t="s">
        <v>81</v>
      </c>
      <c r="D19" s="5"/>
      <c r="E19" t="s">
        <v>104</v>
      </c>
      <c r="R19" s="3"/>
    </row>
    <row r="20" spans="1:18" ht="14.25" customHeight="1" x14ac:dyDescent="0.25">
      <c r="A20" t="s">
        <v>154</v>
      </c>
      <c r="B20" t="s">
        <v>15</v>
      </c>
      <c r="D20" s="5"/>
      <c r="R20" s="3"/>
    </row>
    <row r="21" spans="1:18" ht="14.25" customHeight="1" x14ac:dyDescent="0.25">
      <c r="A21" t="s">
        <v>135</v>
      </c>
      <c r="B21" t="s">
        <v>31</v>
      </c>
      <c r="D21" s="5"/>
      <c r="R21" s="3"/>
    </row>
    <row r="22" spans="1:18" ht="14.25" customHeight="1" x14ac:dyDescent="0.25">
      <c r="A22" t="s">
        <v>132</v>
      </c>
      <c r="B22" t="s">
        <v>81</v>
      </c>
      <c r="D22" s="5"/>
      <c r="E22" t="s">
        <v>96</v>
      </c>
      <c r="R22" s="3"/>
    </row>
    <row r="23" spans="1:18" ht="14.25" customHeight="1" x14ac:dyDescent="0.25">
      <c r="A23" t="s">
        <v>145</v>
      </c>
      <c r="B23" t="s">
        <v>15</v>
      </c>
      <c r="D23" s="5"/>
      <c r="R23" s="3"/>
    </row>
    <row r="24" spans="1:18" ht="14.25" customHeight="1" x14ac:dyDescent="0.25">
      <c r="A24" t="s">
        <v>149</v>
      </c>
      <c r="B24" t="s">
        <v>81</v>
      </c>
      <c r="D24" s="5"/>
      <c r="E24" t="s">
        <v>147</v>
      </c>
      <c r="R24" s="3"/>
    </row>
    <row r="25" spans="1:18" ht="14.25" customHeight="1" x14ac:dyDescent="0.25">
      <c r="A25" t="s">
        <v>146</v>
      </c>
      <c r="B25" t="s">
        <v>15</v>
      </c>
      <c r="D25" s="5"/>
      <c r="R25" s="3"/>
    </row>
    <row r="26" spans="1:18" ht="14.25" customHeight="1" x14ac:dyDescent="0.25">
      <c r="A26" t="s">
        <v>121</v>
      </c>
      <c r="B26" t="s">
        <v>10</v>
      </c>
      <c r="D26" s="5"/>
      <c r="R26" s="3"/>
    </row>
    <row r="27" spans="1:18" ht="14.25" customHeight="1" x14ac:dyDescent="0.25">
      <c r="A27" t="s">
        <v>150</v>
      </c>
      <c r="B27" t="s">
        <v>27</v>
      </c>
      <c r="D27" s="5"/>
      <c r="R27" s="3"/>
    </row>
    <row r="28" spans="1:18" ht="14.25" customHeight="1" x14ac:dyDescent="0.25">
      <c r="A28" t="s">
        <v>126</v>
      </c>
      <c r="B28" t="s">
        <v>11</v>
      </c>
      <c r="D28" s="5" t="s">
        <v>176</v>
      </c>
      <c r="R28" s="3"/>
    </row>
    <row r="29" spans="1:18" ht="14.25" customHeight="1" x14ac:dyDescent="0.25">
      <c r="A29" t="s">
        <v>123</v>
      </c>
      <c r="B29" t="s">
        <v>10</v>
      </c>
      <c r="D29" s="5"/>
      <c r="R29" s="3"/>
    </row>
    <row r="30" spans="1:18" ht="14.25" customHeight="1" x14ac:dyDescent="0.25">
      <c r="A30" t="s">
        <v>122</v>
      </c>
      <c r="B30" t="s">
        <v>10</v>
      </c>
      <c r="D30" s="5"/>
      <c r="R30" s="3"/>
    </row>
    <row r="31" spans="1:18" ht="14.25" customHeight="1" x14ac:dyDescent="0.25">
      <c r="A31" t="s">
        <v>127</v>
      </c>
      <c r="B31" t="s">
        <v>11</v>
      </c>
      <c r="D31" s="5" t="s">
        <v>177</v>
      </c>
      <c r="R31" s="3"/>
    </row>
    <row r="32" spans="1:18" ht="14.25" customHeight="1" x14ac:dyDescent="0.25">
      <c r="A32" t="s">
        <v>129</v>
      </c>
      <c r="B32" t="s">
        <v>15</v>
      </c>
      <c r="D32" s="5"/>
      <c r="R32" s="3"/>
    </row>
    <row r="33" spans="1:18" ht="14.25" customHeight="1" x14ac:dyDescent="0.25">
      <c r="A33" t="s">
        <v>180</v>
      </c>
      <c r="B33" t="s">
        <v>81</v>
      </c>
      <c r="D33" s="5"/>
      <c r="R33" s="3"/>
    </row>
    <row r="34" spans="1:18" ht="14.25" customHeight="1" x14ac:dyDescent="0.25">
      <c r="A34" t="s">
        <v>159</v>
      </c>
      <c r="B34" t="s">
        <v>81</v>
      </c>
      <c r="D34" s="5"/>
      <c r="E34" t="s">
        <v>100</v>
      </c>
      <c r="R34" s="3"/>
    </row>
    <row r="35" spans="1:18" ht="14.25" customHeight="1" x14ac:dyDescent="0.25">
      <c r="A35" t="s">
        <v>134</v>
      </c>
      <c r="B35" t="s">
        <v>40</v>
      </c>
      <c r="D35" s="5"/>
      <c r="R35" s="3"/>
    </row>
    <row r="36" spans="1:18" ht="14.25" customHeight="1" x14ac:dyDescent="0.25">
      <c r="A36" t="s">
        <v>130</v>
      </c>
      <c r="B36" t="s">
        <v>81</v>
      </c>
      <c r="D36" s="5"/>
      <c r="E36" t="s">
        <v>172</v>
      </c>
      <c r="R36" s="3"/>
    </row>
    <row r="37" spans="1:18" ht="14.25" customHeight="1" x14ac:dyDescent="0.25">
      <c r="A37" t="s">
        <v>157</v>
      </c>
      <c r="B37" t="s">
        <v>81</v>
      </c>
      <c r="D37" s="5"/>
      <c r="E37" t="s">
        <v>97</v>
      </c>
      <c r="R37" s="3"/>
    </row>
    <row r="38" spans="1:18" ht="14.25" customHeight="1" x14ac:dyDescent="0.25">
      <c r="A38" t="s">
        <v>165</v>
      </c>
      <c r="B38" t="s">
        <v>81</v>
      </c>
      <c r="D38" s="5"/>
      <c r="E38" t="s">
        <v>101</v>
      </c>
      <c r="R38" s="3"/>
    </row>
    <row r="39" spans="1:18" ht="14.25" customHeight="1" x14ac:dyDescent="0.25">
      <c r="A39" t="s">
        <v>168</v>
      </c>
      <c r="B39" t="s">
        <v>81</v>
      </c>
      <c r="D39" s="5"/>
      <c r="E39" t="s">
        <v>173</v>
      </c>
      <c r="R39" s="3"/>
    </row>
    <row r="40" spans="1:18" ht="14.25" customHeight="1" x14ac:dyDescent="0.25">
      <c r="A40" t="s">
        <v>153</v>
      </c>
      <c r="B40" t="s">
        <v>14</v>
      </c>
      <c r="D40" s="5"/>
      <c r="R40" s="3"/>
    </row>
    <row r="41" spans="1:18" ht="14.25" customHeight="1" x14ac:dyDescent="0.25">
      <c r="A41" t="s">
        <v>171</v>
      </c>
      <c r="B41" t="s">
        <v>163</v>
      </c>
      <c r="D41" s="5"/>
      <c r="R41" s="3"/>
    </row>
    <row r="42" spans="1:18" ht="14.25" customHeight="1" x14ac:dyDescent="0.25">
      <c r="A42" t="s">
        <v>170</v>
      </c>
      <c r="B42" t="s">
        <v>163</v>
      </c>
      <c r="D42" s="5"/>
      <c r="R42" s="3"/>
    </row>
    <row r="43" spans="1:18" ht="14.25" customHeight="1" x14ac:dyDescent="0.25">
      <c r="A43" s="15" t="s">
        <v>169</v>
      </c>
      <c r="B43" t="s">
        <v>162</v>
      </c>
      <c r="D43" s="5"/>
      <c r="R43" s="3"/>
    </row>
    <row r="44" spans="1:18" ht="14.25" customHeight="1" x14ac:dyDescent="0.25">
      <c r="A44" s="16" t="s">
        <v>161</v>
      </c>
      <c r="B44" t="s">
        <v>163</v>
      </c>
      <c r="D44" s="5"/>
      <c r="R44" s="3"/>
    </row>
    <row r="45" spans="1:18" ht="14.25" customHeight="1" x14ac:dyDescent="0.25">
      <c r="A45" t="s">
        <v>167</v>
      </c>
      <c r="B45" t="s">
        <v>12</v>
      </c>
      <c r="D45" s="5"/>
      <c r="R45" s="3"/>
    </row>
    <row r="46" spans="1:18" ht="14.25" customHeight="1" x14ac:dyDescent="0.25">
      <c r="A46" t="s">
        <v>152</v>
      </c>
      <c r="B46" t="s">
        <v>11</v>
      </c>
      <c r="D46" s="5" t="s">
        <v>179</v>
      </c>
      <c r="R46" s="3"/>
    </row>
    <row r="47" spans="1:18" ht="14.25" customHeight="1" x14ac:dyDescent="0.25">
      <c r="A47" t="s">
        <v>156</v>
      </c>
      <c r="B47" t="s">
        <v>81</v>
      </c>
      <c r="D47" s="5"/>
      <c r="E47" t="s">
        <v>98</v>
      </c>
      <c r="R47" s="3"/>
    </row>
    <row r="48" spans="1:18" ht="14.25" customHeight="1" x14ac:dyDescent="0.25">
      <c r="A48" t="s">
        <v>155</v>
      </c>
      <c r="B48" t="s">
        <v>14</v>
      </c>
      <c r="D48" s="5"/>
      <c r="R48" s="3"/>
    </row>
    <row r="49" spans="1:18" ht="14.25" customHeight="1" x14ac:dyDescent="0.25">
      <c r="A49" t="s">
        <v>133</v>
      </c>
      <c r="B49" t="s">
        <v>81</v>
      </c>
      <c r="D49" s="5"/>
      <c r="E49" t="s">
        <v>95</v>
      </c>
      <c r="R49" s="3"/>
    </row>
    <row r="50" spans="1:18" ht="14.25" customHeight="1" x14ac:dyDescent="0.25">
      <c r="A50" t="s">
        <v>116</v>
      </c>
      <c r="B50" t="s">
        <v>11</v>
      </c>
      <c r="D50" s="5" t="s">
        <v>178</v>
      </c>
      <c r="R50" s="3"/>
    </row>
    <row r="51" spans="1:18" ht="14.25" customHeight="1" x14ac:dyDescent="0.25">
      <c r="A51" t="s">
        <v>125</v>
      </c>
      <c r="B51" t="s">
        <v>14</v>
      </c>
      <c r="D51" s="5"/>
      <c r="R51" s="3"/>
    </row>
    <row r="52" spans="1:18" ht="14.25" customHeight="1" x14ac:dyDescent="0.25">
      <c r="A52" t="s">
        <v>124</v>
      </c>
      <c r="B52" t="s">
        <v>81</v>
      </c>
      <c r="D52" s="5"/>
      <c r="E52" t="s">
        <v>94</v>
      </c>
      <c r="R52" s="3"/>
    </row>
    <row r="53" spans="1:18" ht="14.25" customHeight="1" x14ac:dyDescent="0.25">
      <c r="A53" t="s">
        <v>151</v>
      </c>
      <c r="B53" t="s">
        <v>27</v>
      </c>
      <c r="D53" s="5"/>
      <c r="R53" s="3"/>
    </row>
    <row r="54" spans="1:18" ht="14.25" customHeight="1" x14ac:dyDescent="0.25">
      <c r="A54" t="s">
        <v>113</v>
      </c>
      <c r="B54" t="s">
        <v>10</v>
      </c>
      <c r="D54" s="5"/>
      <c r="R54" s="3"/>
    </row>
    <row r="55" spans="1:18" ht="14.25" customHeight="1" x14ac:dyDescent="0.25">
      <c r="A55" t="s">
        <v>143</v>
      </c>
      <c r="B55" t="s">
        <v>10</v>
      </c>
      <c r="D55" s="5"/>
      <c r="R55" s="3"/>
    </row>
    <row r="56" spans="1:18" ht="14.25" customHeight="1" x14ac:dyDescent="0.25">
      <c r="A56" t="s">
        <v>201</v>
      </c>
      <c r="B56" t="s">
        <v>81</v>
      </c>
      <c r="D56" s="5"/>
      <c r="E56" t="s">
        <v>111</v>
      </c>
      <c r="R56" s="3"/>
    </row>
    <row r="57" spans="1:18" ht="14.25" customHeight="1" x14ac:dyDescent="0.25">
      <c r="A57" t="s">
        <v>202</v>
      </c>
      <c r="B57" t="s">
        <v>162</v>
      </c>
      <c r="D57" s="5"/>
      <c r="R57" s="3"/>
    </row>
    <row r="58" spans="1:18" ht="14.25" customHeight="1" x14ac:dyDescent="0.25">
      <c r="A58" t="s">
        <v>203</v>
      </c>
      <c r="B58" t="s">
        <v>163</v>
      </c>
      <c r="D58" s="5"/>
      <c r="R58" s="3"/>
    </row>
    <row r="59" spans="1:18" ht="14.25" customHeight="1" x14ac:dyDescent="0.25">
      <c r="A59" t="s">
        <v>204</v>
      </c>
      <c r="B59" t="s">
        <v>163</v>
      </c>
      <c r="D59" s="5"/>
      <c r="R59" s="3"/>
    </row>
    <row r="60" spans="1:18" ht="14.25" customHeight="1" x14ac:dyDescent="0.25">
      <c r="A60" t="s">
        <v>205</v>
      </c>
      <c r="B60" t="s">
        <v>163</v>
      </c>
      <c r="D60" s="5"/>
      <c r="R60" s="3"/>
    </row>
    <row r="61" spans="1:18" ht="14.25" customHeight="1" x14ac:dyDescent="0.25">
      <c r="A61" t="s">
        <v>206</v>
      </c>
      <c r="B61" t="s">
        <v>163</v>
      </c>
      <c r="D61" s="5"/>
      <c r="R61" s="3"/>
    </row>
    <row r="62" spans="1:18" ht="14.25" customHeight="1" x14ac:dyDescent="0.25">
      <c r="A62" t="s">
        <v>207</v>
      </c>
      <c r="B62" t="s">
        <v>11</v>
      </c>
      <c r="D62" s="5" t="s">
        <v>208</v>
      </c>
      <c r="R62" s="3"/>
    </row>
    <row r="63" spans="1:18" ht="14.25" customHeight="1" x14ac:dyDescent="0.25">
      <c r="A63" t="s">
        <v>225</v>
      </c>
      <c r="B63" t="s">
        <v>11</v>
      </c>
      <c r="D63" s="5" t="s">
        <v>281</v>
      </c>
      <c r="R63" s="3"/>
    </row>
    <row r="64" spans="1:18" ht="14.25" customHeight="1" x14ac:dyDescent="0.25">
      <c r="A64" t="s">
        <v>226</v>
      </c>
      <c r="B64" t="s">
        <v>9</v>
      </c>
      <c r="D64" s="5"/>
      <c r="R64" s="3"/>
    </row>
    <row r="65" spans="1:18" ht="14.25" customHeight="1" x14ac:dyDescent="0.25">
      <c r="A65" t="s">
        <v>228</v>
      </c>
      <c r="B65" t="s">
        <v>9</v>
      </c>
      <c r="D65" s="5"/>
      <c r="R65" s="3"/>
    </row>
    <row r="66" spans="1:18" ht="14.25" customHeight="1" x14ac:dyDescent="0.25">
      <c r="A66" t="s">
        <v>233</v>
      </c>
      <c r="B66" t="s">
        <v>9</v>
      </c>
      <c r="D66" s="5"/>
      <c r="R66" s="3"/>
    </row>
    <row r="67" spans="1:18" ht="14.25" customHeight="1" x14ac:dyDescent="0.25">
      <c r="A67" t="s">
        <v>235</v>
      </c>
      <c r="B67" t="s">
        <v>9</v>
      </c>
      <c r="D67" s="5"/>
      <c r="R67" s="3"/>
    </row>
    <row r="68" spans="1:18" ht="14.25" customHeight="1" x14ac:dyDescent="0.25">
      <c r="A68" t="s">
        <v>237</v>
      </c>
      <c r="B68" t="s">
        <v>17</v>
      </c>
      <c r="D68" s="5"/>
      <c r="R68" s="3"/>
    </row>
    <row r="69" spans="1:18" ht="14.25" customHeight="1" x14ac:dyDescent="0.25">
      <c r="A69" t="s">
        <v>238</v>
      </c>
      <c r="B69" t="s">
        <v>17</v>
      </c>
      <c r="D69" s="5"/>
      <c r="R69" s="3"/>
    </row>
    <row r="70" spans="1:18" ht="14.25" customHeight="1" x14ac:dyDescent="0.25">
      <c r="A70" t="s">
        <v>239</v>
      </c>
      <c r="B70" t="s">
        <v>17</v>
      </c>
      <c r="D70" s="5"/>
      <c r="R70" s="3"/>
    </row>
    <row r="71" spans="1:18" ht="14.25" customHeight="1" x14ac:dyDescent="0.25">
      <c r="A71" t="s">
        <v>243</v>
      </c>
      <c r="B71" t="s">
        <v>9</v>
      </c>
      <c r="D71" s="5"/>
      <c r="R71" s="3"/>
    </row>
    <row r="72" spans="1:18" ht="14.25" customHeight="1" x14ac:dyDescent="0.25">
      <c r="A72" t="s">
        <v>246</v>
      </c>
      <c r="B72" t="s">
        <v>9</v>
      </c>
      <c r="D72" s="5"/>
      <c r="R72" s="3"/>
    </row>
    <row r="73" spans="1:18" ht="14.25" customHeight="1" x14ac:dyDescent="0.25">
      <c r="A73" t="s">
        <v>247</v>
      </c>
      <c r="B73" t="s">
        <v>9</v>
      </c>
      <c r="D73" s="5"/>
      <c r="R73" s="3"/>
    </row>
    <row r="74" spans="1:18" ht="14.25" customHeight="1" x14ac:dyDescent="0.25">
      <c r="A74" t="s">
        <v>249</v>
      </c>
      <c r="B74" t="s">
        <v>81</v>
      </c>
      <c r="D74" s="5"/>
      <c r="E74" t="s">
        <v>216</v>
      </c>
      <c r="R74" s="3"/>
    </row>
    <row r="75" spans="1:18" ht="14.25" customHeight="1" x14ac:dyDescent="0.25">
      <c r="A75" t="s">
        <v>251</v>
      </c>
      <c r="B75" t="s">
        <v>34</v>
      </c>
      <c r="D75" s="5"/>
      <c r="R75" s="3"/>
    </row>
    <row r="76" spans="1:18" ht="14.25" customHeight="1" x14ac:dyDescent="0.25">
      <c r="A76" t="s">
        <v>252</v>
      </c>
      <c r="B76" t="s">
        <v>10</v>
      </c>
      <c r="D76" s="5"/>
      <c r="R76" s="3"/>
    </row>
    <row r="77" spans="1:18" ht="14.25" customHeight="1" x14ac:dyDescent="0.25">
      <c r="A77" t="s">
        <v>254</v>
      </c>
      <c r="B77" t="s">
        <v>10</v>
      </c>
      <c r="D77" s="5"/>
      <c r="R77" s="3"/>
    </row>
    <row r="78" spans="1:18" ht="14.25" customHeight="1" x14ac:dyDescent="0.25">
      <c r="A78" t="s">
        <v>255</v>
      </c>
      <c r="B78" t="s">
        <v>10</v>
      </c>
      <c r="D78" s="5"/>
      <c r="R78" s="3"/>
    </row>
    <row r="79" spans="1:18" ht="14.25" customHeight="1" x14ac:dyDescent="0.25">
      <c r="A79" t="s">
        <v>259</v>
      </c>
      <c r="B79" t="s">
        <v>10</v>
      </c>
      <c r="D79" s="5"/>
      <c r="R79" s="3"/>
    </row>
    <row r="80" spans="1:18" ht="14.25" customHeight="1" x14ac:dyDescent="0.25">
      <c r="A80" t="s">
        <v>260</v>
      </c>
      <c r="B80" t="s">
        <v>10</v>
      </c>
      <c r="D80" s="5"/>
      <c r="R80" s="3"/>
    </row>
    <row r="81" spans="1:18" ht="14.25" customHeight="1" x14ac:dyDescent="0.25">
      <c r="A81" t="s">
        <v>262</v>
      </c>
      <c r="B81" t="s">
        <v>34</v>
      </c>
      <c r="D81" s="5"/>
      <c r="R81" s="3"/>
    </row>
    <row r="82" spans="1:18" ht="14.25" customHeight="1" x14ac:dyDescent="0.25">
      <c r="A82" t="s">
        <v>264</v>
      </c>
      <c r="B82" t="s">
        <v>27</v>
      </c>
      <c r="D82" s="5"/>
      <c r="R82" s="3"/>
    </row>
    <row r="83" spans="1:18" ht="14.25" customHeight="1" x14ac:dyDescent="0.25">
      <c r="A83" t="s">
        <v>266</v>
      </c>
      <c r="B83" t="s">
        <v>11</v>
      </c>
      <c r="D83" s="5" t="s">
        <v>282</v>
      </c>
      <c r="R83" s="3"/>
    </row>
    <row r="84" spans="1:18" ht="14.25" customHeight="1" x14ac:dyDescent="0.25">
      <c r="A84" t="s">
        <v>268</v>
      </c>
      <c r="B84" t="s">
        <v>27</v>
      </c>
      <c r="D84" s="5"/>
      <c r="R84" s="3"/>
    </row>
    <row r="85" spans="1:18" ht="14.25" customHeight="1" x14ac:dyDescent="0.25">
      <c r="A85" t="s">
        <v>269</v>
      </c>
      <c r="B85" t="s">
        <v>11</v>
      </c>
      <c r="D85" s="5" t="s">
        <v>282</v>
      </c>
      <c r="R85" s="3"/>
    </row>
    <row r="86" spans="1:18" ht="14.25" customHeight="1" x14ac:dyDescent="0.25">
      <c r="A86" t="s">
        <v>270</v>
      </c>
      <c r="B86" t="s">
        <v>27</v>
      </c>
      <c r="D86" s="5"/>
      <c r="R86" s="3"/>
    </row>
    <row r="87" spans="1:18" ht="14.25" customHeight="1" x14ac:dyDescent="0.25">
      <c r="A87" t="s">
        <v>271</v>
      </c>
      <c r="B87" t="s">
        <v>11</v>
      </c>
      <c r="D87" s="5" t="s">
        <v>282</v>
      </c>
      <c r="R87" s="3"/>
    </row>
    <row r="88" spans="1:18" ht="14.25" customHeight="1" x14ac:dyDescent="0.25">
      <c r="A88" t="s">
        <v>276</v>
      </c>
      <c r="B88" t="s">
        <v>34</v>
      </c>
      <c r="D88" s="5"/>
      <c r="R88" s="3"/>
    </row>
    <row r="89" spans="1:18" ht="14.25" customHeight="1" x14ac:dyDescent="0.25">
      <c r="A89" t="s">
        <v>279</v>
      </c>
      <c r="B89" t="s">
        <v>27</v>
      </c>
      <c r="D89" s="5"/>
      <c r="R89" s="3"/>
    </row>
    <row r="90" spans="1:18" ht="14.25" customHeight="1" x14ac:dyDescent="0.25">
      <c r="A90" t="s">
        <v>307</v>
      </c>
      <c r="B90" t="s">
        <v>9</v>
      </c>
      <c r="D90" s="5"/>
      <c r="R90" s="3"/>
    </row>
    <row r="91" spans="1:18" ht="14.25" customHeight="1" x14ac:dyDescent="0.25">
      <c r="A91" t="s">
        <v>308</v>
      </c>
      <c r="B91" t="s">
        <v>9</v>
      </c>
      <c r="D91" s="5"/>
      <c r="R91" s="3"/>
    </row>
    <row r="92" spans="1:18" ht="14.25" customHeight="1" x14ac:dyDescent="0.25">
      <c r="A92" t="s">
        <v>310</v>
      </c>
      <c r="B92" t="s">
        <v>9</v>
      </c>
      <c r="D92" s="5"/>
      <c r="R92" s="3"/>
    </row>
    <row r="93" spans="1:18" ht="14.25" customHeight="1" x14ac:dyDescent="0.25">
      <c r="A93" s="6" t="s">
        <v>312</v>
      </c>
      <c r="B93" t="s">
        <v>81</v>
      </c>
      <c r="D93" s="5"/>
      <c r="R93" s="3"/>
    </row>
    <row r="94" spans="1:18" ht="14.25" customHeight="1" x14ac:dyDescent="0.25">
      <c r="A94" t="s">
        <v>316</v>
      </c>
      <c r="B94" t="s">
        <v>81</v>
      </c>
      <c r="D94" s="5"/>
      <c r="R94" s="3"/>
    </row>
    <row r="95" spans="1:18" ht="14.25" customHeight="1" x14ac:dyDescent="0.25">
      <c r="A95" s="18" t="s">
        <v>314</v>
      </c>
      <c r="B95" t="s">
        <v>34</v>
      </c>
      <c r="D95" s="5"/>
      <c r="R95" s="3"/>
    </row>
    <row r="96" spans="1:18" ht="14.25" customHeight="1" x14ac:dyDescent="0.25">
      <c r="A96" s="18" t="s">
        <v>317</v>
      </c>
      <c r="B96" t="s">
        <v>34</v>
      </c>
      <c r="D96" s="5"/>
      <c r="R96" s="3"/>
    </row>
    <row r="97" spans="1:18" ht="14.25" customHeight="1" x14ac:dyDescent="0.25">
      <c r="A97" s="18" t="s">
        <v>319</v>
      </c>
      <c r="B97" t="s">
        <v>34</v>
      </c>
      <c r="D97" s="5"/>
      <c r="R97" s="3"/>
    </row>
    <row r="98" spans="1:18" ht="14.25" customHeight="1" x14ac:dyDescent="0.25">
      <c r="A98" s="18" t="s">
        <v>322</v>
      </c>
      <c r="B98" t="s">
        <v>34</v>
      </c>
      <c r="D98" s="5"/>
      <c r="R98" s="3"/>
    </row>
    <row r="99" spans="1:18" ht="14.25" customHeight="1" x14ac:dyDescent="0.25">
      <c r="A99" s="18" t="s">
        <v>323</v>
      </c>
      <c r="B99" t="s">
        <v>34</v>
      </c>
      <c r="D99" s="5"/>
      <c r="R99" s="3"/>
    </row>
    <row r="100" spans="1:18" ht="14.25" customHeight="1" x14ac:dyDescent="0.25">
      <c r="A100" t="s">
        <v>417</v>
      </c>
      <c r="B100" t="s">
        <v>34</v>
      </c>
      <c r="D100" s="5"/>
      <c r="R100" s="3"/>
    </row>
    <row r="101" spans="1:18" ht="14.25" customHeight="1" x14ac:dyDescent="0.25">
      <c r="A101" t="s">
        <v>419</v>
      </c>
      <c r="B101" t="s">
        <v>34</v>
      </c>
      <c r="D101" s="5"/>
      <c r="R101" s="3"/>
    </row>
    <row r="102" spans="1:18" ht="14.25" customHeight="1" x14ac:dyDescent="0.25">
      <c r="A102" t="s">
        <v>418</v>
      </c>
      <c r="B102" t="s">
        <v>34</v>
      </c>
      <c r="D102" s="5"/>
      <c r="R102" s="3"/>
    </row>
    <row r="103" spans="1:18" ht="14.25" customHeight="1" x14ac:dyDescent="0.25">
      <c r="A103" s="18" t="s">
        <v>328</v>
      </c>
      <c r="B103" t="s">
        <v>11</v>
      </c>
      <c r="D103" s="5" t="s">
        <v>391</v>
      </c>
      <c r="R103" s="3"/>
    </row>
    <row r="104" spans="1:18" ht="14.25" customHeight="1" x14ac:dyDescent="0.25">
      <c r="A104" s="18" t="s">
        <v>329</v>
      </c>
      <c r="B104" t="s">
        <v>11</v>
      </c>
      <c r="D104" s="5" t="s">
        <v>391</v>
      </c>
      <c r="R104" s="3"/>
    </row>
    <row r="105" spans="1:18" ht="14.25" customHeight="1" x14ac:dyDescent="0.25">
      <c r="A105" s="18" t="s">
        <v>333</v>
      </c>
      <c r="B105" t="s">
        <v>11</v>
      </c>
      <c r="D105" s="5" t="s">
        <v>391</v>
      </c>
      <c r="R105" s="3"/>
    </row>
    <row r="106" spans="1:18" ht="14.25" customHeight="1" x14ac:dyDescent="0.25">
      <c r="A106" s="18" t="s">
        <v>332</v>
      </c>
      <c r="B106" t="s">
        <v>34</v>
      </c>
      <c r="D106" s="5"/>
      <c r="R106" s="3"/>
    </row>
    <row r="107" spans="1:18" ht="14.25" customHeight="1" x14ac:dyDescent="0.25">
      <c r="A107" s="18" t="s">
        <v>335</v>
      </c>
      <c r="B107" t="s">
        <v>34</v>
      </c>
      <c r="D107" s="5"/>
      <c r="R107" s="3"/>
    </row>
    <row r="108" spans="1:18" ht="14.25" customHeight="1" x14ac:dyDescent="0.25">
      <c r="A108" s="22" t="s">
        <v>420</v>
      </c>
      <c r="B108" t="s">
        <v>34</v>
      </c>
      <c r="D108" s="5"/>
      <c r="R108" s="3"/>
    </row>
    <row r="109" spans="1:18" ht="14.25" customHeight="1" x14ac:dyDescent="0.25">
      <c r="A109" s="18" t="s">
        <v>339</v>
      </c>
      <c r="B109" t="s">
        <v>34</v>
      </c>
      <c r="D109" s="5"/>
      <c r="R109" s="3"/>
    </row>
    <row r="110" spans="1:18" ht="14.25" customHeight="1" x14ac:dyDescent="0.25">
      <c r="A110" s="18" t="s">
        <v>341</v>
      </c>
      <c r="B110" t="s">
        <v>34</v>
      </c>
      <c r="D110" s="5"/>
      <c r="R110" s="3"/>
    </row>
    <row r="111" spans="1:18" ht="14.25" customHeight="1" x14ac:dyDescent="0.25">
      <c r="A111" s="18" t="s">
        <v>343</v>
      </c>
      <c r="B111" t="s">
        <v>34</v>
      </c>
      <c r="D111" s="5"/>
      <c r="R111" s="3"/>
    </row>
    <row r="112" spans="1:18" ht="14.25" customHeight="1" x14ac:dyDescent="0.25">
      <c r="A112" s="18" t="s">
        <v>345</v>
      </c>
      <c r="B112" t="s">
        <v>34</v>
      </c>
      <c r="D112" s="5"/>
      <c r="R112" s="3"/>
    </row>
    <row r="113" spans="1:18" ht="14.25" customHeight="1" x14ac:dyDescent="0.25">
      <c r="A113" s="18" t="s">
        <v>346</v>
      </c>
      <c r="B113" t="s">
        <v>34</v>
      </c>
      <c r="D113" s="5"/>
      <c r="R113" s="3"/>
    </row>
    <row r="114" spans="1:18" ht="14.25" customHeight="1" x14ac:dyDescent="0.25">
      <c r="A114" s="18" t="s">
        <v>348</v>
      </c>
      <c r="B114" t="s">
        <v>34</v>
      </c>
      <c r="D114" s="5"/>
      <c r="R114" s="3"/>
    </row>
    <row r="115" spans="1:18" ht="14.25" customHeight="1" x14ac:dyDescent="0.25">
      <c r="A115" s="18" t="s">
        <v>350</v>
      </c>
      <c r="B115" t="s">
        <v>34</v>
      </c>
      <c r="D115" s="5"/>
      <c r="R115" s="3"/>
    </row>
    <row r="116" spans="1:18" ht="14.25" customHeight="1" x14ac:dyDescent="0.25">
      <c r="A116" s="18" t="s">
        <v>352</v>
      </c>
      <c r="B116" t="s">
        <v>34</v>
      </c>
      <c r="D116" s="5"/>
      <c r="R116" s="3"/>
    </row>
    <row r="117" spans="1:18" ht="14.25" customHeight="1" x14ac:dyDescent="0.25">
      <c r="A117" s="18" t="s">
        <v>365</v>
      </c>
      <c r="B117" t="s">
        <v>34</v>
      </c>
      <c r="D117" s="5"/>
      <c r="R117" s="3"/>
    </row>
    <row r="118" spans="1:18" ht="14.25" customHeight="1" x14ac:dyDescent="0.25">
      <c r="A118" s="18" t="s">
        <v>357</v>
      </c>
      <c r="B118" t="s">
        <v>34</v>
      </c>
      <c r="D118" s="5"/>
      <c r="R118" s="3"/>
    </row>
    <row r="119" spans="1:18" ht="14.25" customHeight="1" x14ac:dyDescent="0.25">
      <c r="A119" s="18" t="s">
        <v>359</v>
      </c>
      <c r="B119" t="s">
        <v>34</v>
      </c>
      <c r="D119" s="5"/>
      <c r="R119" s="3"/>
    </row>
    <row r="120" spans="1:18" ht="14.25" customHeight="1" x14ac:dyDescent="0.25">
      <c r="A120" s="18" t="s">
        <v>361</v>
      </c>
      <c r="B120" t="s">
        <v>34</v>
      </c>
      <c r="D120" s="5"/>
      <c r="R120" s="3"/>
    </row>
    <row r="121" spans="1:18" ht="14.25" customHeight="1" x14ac:dyDescent="0.25">
      <c r="A121" s="18" t="s">
        <v>363</v>
      </c>
      <c r="B121" t="s">
        <v>34</v>
      </c>
      <c r="D121" s="5"/>
      <c r="R121" s="3"/>
    </row>
    <row r="122" spans="1:18" ht="14.25" customHeight="1" x14ac:dyDescent="0.25">
      <c r="A122" s="18" t="s">
        <v>367</v>
      </c>
      <c r="B122" t="s">
        <v>27</v>
      </c>
      <c r="D122" s="5"/>
      <c r="R122" s="3"/>
    </row>
    <row r="123" spans="1:18" ht="14.25" customHeight="1" x14ac:dyDescent="0.25">
      <c r="A123" s="18" t="s">
        <v>369</v>
      </c>
      <c r="B123" t="s">
        <v>7</v>
      </c>
      <c r="D123" s="5"/>
      <c r="R123" s="3"/>
    </row>
    <row r="124" spans="1:18" ht="14.25" customHeight="1" x14ac:dyDescent="0.25">
      <c r="A124" s="18" t="s">
        <v>373</v>
      </c>
      <c r="B124" t="s">
        <v>81</v>
      </c>
      <c r="D124" s="5"/>
      <c r="E124" s="6" t="s">
        <v>212</v>
      </c>
      <c r="R124" s="3"/>
    </row>
    <row r="125" spans="1:18" ht="14.25" customHeight="1" x14ac:dyDescent="0.25">
      <c r="A125" s="18" t="s">
        <v>375</v>
      </c>
      <c r="B125" t="s">
        <v>27</v>
      </c>
      <c r="D125" s="5"/>
      <c r="R125" s="3"/>
    </row>
    <row r="126" spans="1:18" ht="14.25" customHeight="1" x14ac:dyDescent="0.25">
      <c r="A126" s="18" t="s">
        <v>373</v>
      </c>
      <c r="B126" t="s">
        <v>81</v>
      </c>
      <c r="D126" s="5"/>
      <c r="E126" s="6" t="s">
        <v>212</v>
      </c>
      <c r="R126" s="3"/>
    </row>
    <row r="127" spans="1:18" ht="14.25" customHeight="1" x14ac:dyDescent="0.25">
      <c r="A127" s="18" t="s">
        <v>377</v>
      </c>
      <c r="B127" t="s">
        <v>81</v>
      </c>
      <c r="D127" s="5"/>
      <c r="E127" t="s">
        <v>213</v>
      </c>
      <c r="R127" s="3"/>
    </row>
    <row r="128" spans="1:18" ht="14.25" customHeight="1" x14ac:dyDescent="0.25">
      <c r="A128" s="18" t="s">
        <v>379</v>
      </c>
      <c r="B128" t="s">
        <v>27</v>
      </c>
      <c r="D128" s="5"/>
      <c r="R128" s="3"/>
    </row>
    <row r="129" spans="1:18" ht="14.25" customHeight="1" x14ac:dyDescent="0.25">
      <c r="A129" s="18" t="s">
        <v>382</v>
      </c>
      <c r="B129" t="s">
        <v>34</v>
      </c>
      <c r="D129" s="5"/>
      <c r="R129" s="3"/>
    </row>
    <row r="130" spans="1:18" ht="14.25" customHeight="1" x14ac:dyDescent="0.25">
      <c r="A130" s="18" t="s">
        <v>385</v>
      </c>
      <c r="B130" t="s">
        <v>34</v>
      </c>
      <c r="D130" s="5"/>
      <c r="R130" s="3"/>
    </row>
    <row r="131" spans="1:18" ht="14.25" customHeight="1" x14ac:dyDescent="0.25">
      <c r="A131" s="18" t="s">
        <v>386</v>
      </c>
      <c r="B131" t="s">
        <v>34</v>
      </c>
      <c r="D131" s="5"/>
      <c r="R131" s="3"/>
    </row>
    <row r="132" spans="1:18" ht="14.25" customHeight="1" x14ac:dyDescent="0.25">
      <c r="A132" s="18" t="s">
        <v>389</v>
      </c>
      <c r="B132" t="s">
        <v>34</v>
      </c>
      <c r="D132" s="5"/>
      <c r="R132" s="3"/>
    </row>
    <row r="133" spans="1:18" ht="14.25" customHeight="1" x14ac:dyDescent="0.25">
      <c r="A133" s="23" t="s">
        <v>390</v>
      </c>
      <c r="B133" t="s">
        <v>11</v>
      </c>
      <c r="D133" s="5" t="s">
        <v>392</v>
      </c>
      <c r="R133" s="3"/>
    </row>
    <row r="134" spans="1:18" ht="14.25" customHeight="1" x14ac:dyDescent="0.25">
      <c r="A134" s="25" t="s">
        <v>394</v>
      </c>
      <c r="B134" t="s">
        <v>163</v>
      </c>
      <c r="D134" s="5"/>
      <c r="R134" s="3"/>
    </row>
    <row r="135" spans="1:18" ht="14.25" customHeight="1" x14ac:dyDescent="0.25">
      <c r="A135" s="25" t="s">
        <v>395</v>
      </c>
      <c r="B135" t="s">
        <v>163</v>
      </c>
      <c r="D135" s="5"/>
      <c r="R135" s="3"/>
    </row>
    <row r="136" spans="1:18" ht="14.25" customHeight="1" x14ac:dyDescent="0.25">
      <c r="A136" s="25" t="s">
        <v>396</v>
      </c>
      <c r="B136" t="s">
        <v>163</v>
      </c>
      <c r="D136" s="5"/>
      <c r="R136" s="3"/>
    </row>
    <row r="137" spans="1:18" ht="14.25" customHeight="1" x14ac:dyDescent="0.25">
      <c r="A137" s="25" t="s">
        <v>398</v>
      </c>
      <c r="B137" t="s">
        <v>81</v>
      </c>
      <c r="D137" s="5"/>
      <c r="E137" t="s">
        <v>210</v>
      </c>
      <c r="R137" s="3"/>
    </row>
    <row r="138" spans="1:18" ht="14.25" customHeight="1" x14ac:dyDescent="0.25">
      <c r="A138" s="25" t="s">
        <v>399</v>
      </c>
      <c r="B138" t="s">
        <v>7</v>
      </c>
      <c r="D138" s="5"/>
      <c r="R138" s="3"/>
    </row>
    <row r="139" spans="1:18" ht="14.25" customHeight="1" x14ac:dyDescent="0.25">
      <c r="A139" s="25" t="s">
        <v>400</v>
      </c>
      <c r="B139" t="s">
        <v>11</v>
      </c>
      <c r="D139" s="5" t="s">
        <v>421</v>
      </c>
      <c r="R139" s="3"/>
    </row>
    <row r="140" spans="1:18" ht="14.25" customHeight="1" x14ac:dyDescent="0.25">
      <c r="A140" s="25" t="s">
        <v>402</v>
      </c>
      <c r="B140" t="s">
        <v>7</v>
      </c>
      <c r="D140" s="5"/>
      <c r="R140" s="3"/>
    </row>
    <row r="141" spans="1:18" ht="14.25" customHeight="1" x14ac:dyDescent="0.25">
      <c r="A141" s="25" t="s">
        <v>403</v>
      </c>
      <c r="B141" t="s">
        <v>9</v>
      </c>
      <c r="D141" s="5"/>
      <c r="R141" s="3"/>
    </row>
    <row r="142" spans="1:18" ht="14.25" customHeight="1" x14ac:dyDescent="0.25">
      <c r="A142" s="25" t="s">
        <v>404</v>
      </c>
      <c r="B142" t="s">
        <v>13</v>
      </c>
      <c r="D142" s="5"/>
      <c r="R142" s="3"/>
    </row>
    <row r="143" spans="1:18" ht="14.25" customHeight="1" x14ac:dyDescent="0.25">
      <c r="A143" s="25" t="s">
        <v>405</v>
      </c>
      <c r="B143" t="s">
        <v>17</v>
      </c>
      <c r="D143" s="5"/>
      <c r="R143" s="3"/>
    </row>
    <row r="144" spans="1:18" ht="14.25" customHeight="1" x14ac:dyDescent="0.25">
      <c r="R144" s="3"/>
    </row>
    <row r="145" spans="18:18" ht="14.25" customHeight="1" x14ac:dyDescent="0.25">
      <c r="R145" s="3"/>
    </row>
    <row r="146" spans="18:18" ht="14.25" customHeight="1" x14ac:dyDescent="0.25">
      <c r="R146" s="3"/>
    </row>
    <row r="147" spans="18:18" ht="14.25" customHeight="1" x14ac:dyDescent="0.25">
      <c r="R147" s="3"/>
    </row>
    <row r="148" spans="18:18" ht="14.25" customHeight="1" x14ac:dyDescent="0.25">
      <c r="R148" s="3"/>
    </row>
    <row r="149" spans="18:18" ht="14.25" customHeight="1" x14ac:dyDescent="0.25">
      <c r="R149" s="3"/>
    </row>
    <row r="150" spans="18:18" ht="14.25" customHeight="1" x14ac:dyDescent="0.25">
      <c r="R150" s="3"/>
    </row>
    <row r="151" spans="18:18" ht="14.25" customHeight="1" x14ac:dyDescent="0.25">
      <c r="R151" s="3"/>
    </row>
    <row r="152" spans="18:18" ht="14.25" customHeight="1" x14ac:dyDescent="0.25">
      <c r="R152" s="3"/>
    </row>
    <row r="153" spans="18:18" ht="14.25" customHeight="1" x14ac:dyDescent="0.25">
      <c r="R153" s="3"/>
    </row>
    <row r="154" spans="18:18" ht="14.25" customHeight="1" x14ac:dyDescent="0.25">
      <c r="R154" s="3"/>
    </row>
    <row r="155" spans="18:18" ht="14.25" customHeight="1" x14ac:dyDescent="0.25">
      <c r="R155" s="3"/>
    </row>
    <row r="156" spans="18:18" ht="14.25" customHeight="1" x14ac:dyDescent="0.25">
      <c r="R156" s="3"/>
    </row>
    <row r="157" spans="18:18" ht="14.25" customHeight="1" x14ac:dyDescent="0.25">
      <c r="R157" s="3"/>
    </row>
    <row r="158" spans="18:18" ht="14.25" customHeight="1" x14ac:dyDescent="0.25">
      <c r="R158" s="3"/>
    </row>
    <row r="159" spans="18:18" ht="14.25" customHeight="1" x14ac:dyDescent="0.25">
      <c r="R159" s="3"/>
    </row>
    <row r="160" spans="18:18" ht="14.25" customHeight="1" x14ac:dyDescent="0.25">
      <c r="R160" s="3"/>
    </row>
    <row r="161" spans="18:18" ht="14.25" customHeight="1" x14ac:dyDescent="0.25">
      <c r="R161" s="3"/>
    </row>
    <row r="162" spans="18:18" ht="14.25" customHeight="1" x14ac:dyDescent="0.25">
      <c r="R162" s="3"/>
    </row>
    <row r="163" spans="18:18" ht="14.25" customHeight="1" x14ac:dyDescent="0.25">
      <c r="R163" s="3"/>
    </row>
    <row r="164" spans="18:18" ht="14.25" customHeight="1" x14ac:dyDescent="0.25">
      <c r="R164" s="3"/>
    </row>
    <row r="165" spans="18:18" ht="14.25" customHeight="1" x14ac:dyDescent="0.25">
      <c r="R165" s="3"/>
    </row>
    <row r="166" spans="18:18" ht="14.25" customHeight="1" x14ac:dyDescent="0.25">
      <c r="R166" s="3"/>
    </row>
    <row r="167" spans="18:18" ht="14.25" customHeight="1" x14ac:dyDescent="0.25">
      <c r="R167" s="3"/>
    </row>
    <row r="168" spans="18:18" ht="14.25" customHeight="1" x14ac:dyDescent="0.25">
      <c r="R168" s="3"/>
    </row>
    <row r="169" spans="18:18" ht="14.25" customHeight="1" x14ac:dyDescent="0.25">
      <c r="R169" s="3"/>
    </row>
    <row r="170" spans="18:18" ht="14.25" customHeight="1" x14ac:dyDescent="0.25">
      <c r="R170" s="3"/>
    </row>
    <row r="171" spans="18:18" ht="14.25" customHeight="1" x14ac:dyDescent="0.25">
      <c r="R171" s="3"/>
    </row>
    <row r="172" spans="18:18" ht="14.25" customHeight="1" x14ac:dyDescent="0.25">
      <c r="R172" s="3"/>
    </row>
    <row r="173" spans="18:18" ht="14.25" customHeight="1" x14ac:dyDescent="0.25">
      <c r="R173" s="3"/>
    </row>
    <row r="174" spans="18:18" ht="14.25" customHeight="1" x14ac:dyDescent="0.25">
      <c r="R174" s="3"/>
    </row>
    <row r="175" spans="18:18" ht="14.25" customHeight="1" x14ac:dyDescent="0.25">
      <c r="R175" s="3"/>
    </row>
    <row r="176" spans="18:18" ht="14.25" customHeight="1" x14ac:dyDescent="0.25">
      <c r="R176" s="3"/>
    </row>
    <row r="177" spans="18:18" ht="14.25" customHeight="1" x14ac:dyDescent="0.25">
      <c r="R177" s="3"/>
    </row>
    <row r="178" spans="18:18" ht="14.25" customHeight="1" x14ac:dyDescent="0.25">
      <c r="R178" s="3"/>
    </row>
    <row r="179" spans="18:18" ht="14.25" customHeight="1" x14ac:dyDescent="0.25">
      <c r="R179" s="3"/>
    </row>
    <row r="180" spans="18:18" ht="14.25" customHeight="1" x14ac:dyDescent="0.25">
      <c r="R180" s="3"/>
    </row>
    <row r="181" spans="18:18" ht="14.25" customHeight="1" x14ac:dyDescent="0.25">
      <c r="R181" s="3"/>
    </row>
    <row r="182" spans="18:18" ht="14.25" customHeight="1" x14ac:dyDescent="0.25">
      <c r="R182" s="3"/>
    </row>
    <row r="183" spans="18:18" ht="14.25" customHeight="1" x14ac:dyDescent="0.25">
      <c r="R183" s="3"/>
    </row>
    <row r="184" spans="18:18" ht="14.25" customHeight="1" x14ac:dyDescent="0.25">
      <c r="R184" s="3"/>
    </row>
    <row r="185" spans="18:18" ht="14.25" customHeight="1" x14ac:dyDescent="0.25">
      <c r="R185" s="3"/>
    </row>
    <row r="186" spans="18:18" ht="14.25" customHeight="1" x14ac:dyDescent="0.25">
      <c r="R186" s="3"/>
    </row>
    <row r="187" spans="18:18" ht="14.25" customHeight="1" x14ac:dyDescent="0.25">
      <c r="R187" s="3"/>
    </row>
    <row r="188" spans="18:18" ht="14.25" customHeight="1" x14ac:dyDescent="0.25">
      <c r="R188" s="3"/>
    </row>
    <row r="189" spans="18:18" ht="14.25" customHeight="1" x14ac:dyDescent="0.25">
      <c r="R189" s="3"/>
    </row>
    <row r="190" spans="18:18" ht="14.25" customHeight="1" x14ac:dyDescent="0.25">
      <c r="R190" s="3"/>
    </row>
    <row r="191" spans="18:18" ht="14.25" customHeight="1" x14ac:dyDescent="0.25">
      <c r="R191" s="3"/>
    </row>
    <row r="192" spans="18:18" ht="14.25" customHeight="1" x14ac:dyDescent="0.25">
      <c r="R192" s="3"/>
    </row>
    <row r="193" spans="18:18" ht="14.25" customHeight="1" x14ac:dyDescent="0.25">
      <c r="R193" s="3"/>
    </row>
    <row r="194" spans="18:18" ht="14.25" customHeight="1" x14ac:dyDescent="0.25">
      <c r="R194" s="3"/>
    </row>
    <row r="195" spans="18:18" ht="14.25" customHeight="1" x14ac:dyDescent="0.25">
      <c r="R195" s="3"/>
    </row>
    <row r="196" spans="18:18" ht="14.25" customHeight="1" x14ac:dyDescent="0.25">
      <c r="R196" s="3"/>
    </row>
    <row r="197" spans="18:18" ht="14.25" customHeight="1" x14ac:dyDescent="0.25">
      <c r="R197" s="3"/>
    </row>
    <row r="198" spans="18:18" ht="14.25" customHeight="1" x14ac:dyDescent="0.25">
      <c r="R198" s="3"/>
    </row>
    <row r="199" spans="18:18" ht="14.25" customHeight="1" x14ac:dyDescent="0.25">
      <c r="R199" s="3"/>
    </row>
    <row r="200" spans="18:18" ht="14.25" customHeight="1" x14ac:dyDescent="0.25">
      <c r="R200" s="3"/>
    </row>
    <row r="201" spans="18:18" ht="14.25" customHeight="1" x14ac:dyDescent="0.25">
      <c r="R201" s="3"/>
    </row>
    <row r="202" spans="18:18" ht="14.25" customHeight="1" x14ac:dyDescent="0.25">
      <c r="R202" s="3"/>
    </row>
    <row r="203" spans="18:18" ht="14.25" customHeight="1" x14ac:dyDescent="0.25">
      <c r="R203" s="3"/>
    </row>
    <row r="204" spans="18:18" ht="14.25" customHeight="1" x14ac:dyDescent="0.25">
      <c r="R204" s="3"/>
    </row>
    <row r="205" spans="18:18" ht="14.25" customHeight="1" x14ac:dyDescent="0.25">
      <c r="R205" s="3"/>
    </row>
    <row r="206" spans="18:18" ht="14.25" customHeight="1" x14ac:dyDescent="0.25">
      <c r="R206" s="3"/>
    </row>
    <row r="207" spans="18:18" ht="14.25" customHeight="1" x14ac:dyDescent="0.25">
      <c r="R207" s="3"/>
    </row>
    <row r="208" spans="18:18" ht="14.25" customHeight="1" x14ac:dyDescent="0.25">
      <c r="R208" s="3"/>
    </row>
    <row r="209" spans="18:18" ht="14.25" customHeight="1" x14ac:dyDescent="0.25">
      <c r="R209" s="3"/>
    </row>
    <row r="210" spans="18:18" ht="14.25" customHeight="1" x14ac:dyDescent="0.25">
      <c r="R210" s="3"/>
    </row>
    <row r="211" spans="18:18" ht="14.25" customHeight="1" x14ac:dyDescent="0.25">
      <c r="R211" s="3"/>
    </row>
    <row r="212" spans="18:18" ht="14.25" customHeight="1" x14ac:dyDescent="0.25">
      <c r="R212" s="3"/>
    </row>
    <row r="213" spans="18:18" ht="14.25" customHeight="1" x14ac:dyDescent="0.25">
      <c r="R213" s="3"/>
    </row>
    <row r="214" spans="18:18" ht="14.25" customHeight="1" x14ac:dyDescent="0.25">
      <c r="R214" s="3"/>
    </row>
    <row r="215" spans="18:18" ht="14.25" customHeight="1" x14ac:dyDescent="0.25">
      <c r="R215" s="3"/>
    </row>
    <row r="216" spans="18:18" ht="14.25" customHeight="1" x14ac:dyDescent="0.25">
      <c r="R216" s="3"/>
    </row>
    <row r="217" spans="18:18" ht="14.25" customHeight="1" x14ac:dyDescent="0.25">
      <c r="R217" s="3"/>
    </row>
    <row r="218" spans="18:18" ht="14.25" customHeight="1" x14ac:dyDescent="0.25">
      <c r="R218" s="3"/>
    </row>
    <row r="219" spans="18:18" ht="14.25" customHeight="1" x14ac:dyDescent="0.25">
      <c r="R219" s="3"/>
    </row>
    <row r="220" spans="18:18" ht="14.25" customHeight="1" x14ac:dyDescent="0.25">
      <c r="R220" s="3"/>
    </row>
    <row r="221" spans="18:18" ht="14.25" customHeight="1" x14ac:dyDescent="0.25">
      <c r="R221" s="3"/>
    </row>
    <row r="222" spans="18:18" ht="14.25" customHeight="1" x14ac:dyDescent="0.25">
      <c r="R222" s="3"/>
    </row>
    <row r="223" spans="18:18" ht="14.25" customHeight="1" x14ac:dyDescent="0.25">
      <c r="R223" s="3"/>
    </row>
    <row r="224" spans="18:18" ht="14.25" customHeight="1" x14ac:dyDescent="0.25">
      <c r="R224" s="3"/>
    </row>
    <row r="225" spans="18:18" ht="14.25" customHeight="1" x14ac:dyDescent="0.25">
      <c r="R225" s="3"/>
    </row>
    <row r="226" spans="18:18" ht="14.25" customHeight="1" x14ac:dyDescent="0.25">
      <c r="R226" s="3"/>
    </row>
    <row r="227" spans="18:18" ht="14.25" customHeight="1" x14ac:dyDescent="0.25">
      <c r="R227" s="3"/>
    </row>
    <row r="228" spans="18:18" ht="14.25" customHeight="1" x14ac:dyDescent="0.25">
      <c r="R228" s="3"/>
    </row>
    <row r="229" spans="18:18" ht="14.25" customHeight="1" x14ac:dyDescent="0.25">
      <c r="R229" s="3"/>
    </row>
    <row r="230" spans="18:18" ht="14.25" customHeight="1" x14ac:dyDescent="0.25">
      <c r="R230" s="3"/>
    </row>
    <row r="231" spans="18:18" ht="14.25" customHeight="1" x14ac:dyDescent="0.25">
      <c r="R231" s="3"/>
    </row>
    <row r="232" spans="18:18" ht="14.25" customHeight="1" x14ac:dyDescent="0.25">
      <c r="R232" s="3"/>
    </row>
    <row r="233" spans="18:18" ht="14.25" customHeight="1" x14ac:dyDescent="0.25">
      <c r="R233" s="3"/>
    </row>
    <row r="234" spans="18:18" ht="14.25" customHeight="1" x14ac:dyDescent="0.25">
      <c r="R234" s="3"/>
    </row>
    <row r="235" spans="18:18" ht="14.25" customHeight="1" x14ac:dyDescent="0.25">
      <c r="R235" s="3"/>
    </row>
    <row r="236" spans="18:18" ht="14.25" customHeight="1" x14ac:dyDescent="0.25">
      <c r="R236" s="3"/>
    </row>
    <row r="237" spans="18:18" ht="14.25" customHeight="1" x14ac:dyDescent="0.25">
      <c r="R237" s="3"/>
    </row>
    <row r="238" spans="18:18" ht="14.25" customHeight="1" x14ac:dyDescent="0.25">
      <c r="R238" s="3"/>
    </row>
    <row r="239" spans="18:18" ht="14.25" customHeight="1" x14ac:dyDescent="0.25">
      <c r="R239" s="3"/>
    </row>
    <row r="240" spans="18:18" ht="14.25" customHeight="1" x14ac:dyDescent="0.25">
      <c r="R240" s="3"/>
    </row>
    <row r="241" spans="18:18" ht="14.25" customHeight="1" x14ac:dyDescent="0.25">
      <c r="R241" s="3"/>
    </row>
    <row r="242" spans="18:18" ht="14.25" customHeight="1" x14ac:dyDescent="0.25">
      <c r="R242" s="3"/>
    </row>
    <row r="243" spans="18:18" ht="14.25" customHeight="1" x14ac:dyDescent="0.25">
      <c r="R243" s="3"/>
    </row>
    <row r="244" spans="18:18" ht="14.25" customHeight="1" x14ac:dyDescent="0.25">
      <c r="R244" s="3"/>
    </row>
    <row r="245" spans="18:18" ht="14.25" customHeight="1" x14ac:dyDescent="0.25">
      <c r="R245" s="3"/>
    </row>
    <row r="246" spans="18:18" ht="14.25" customHeight="1" x14ac:dyDescent="0.25">
      <c r="R246" s="3"/>
    </row>
    <row r="247" spans="18:18" ht="14.25" customHeight="1" x14ac:dyDescent="0.25">
      <c r="R247" s="3"/>
    </row>
    <row r="248" spans="18:18" ht="14.25" customHeight="1" x14ac:dyDescent="0.25">
      <c r="R248" s="3"/>
    </row>
    <row r="249" spans="18:18" ht="14.25" customHeight="1" x14ac:dyDescent="0.25">
      <c r="R249" s="3"/>
    </row>
    <row r="250" spans="18:18" ht="14.25" customHeight="1" x14ac:dyDescent="0.25">
      <c r="R250" s="3"/>
    </row>
    <row r="251" spans="18:18" ht="14.25" customHeight="1" x14ac:dyDescent="0.25">
      <c r="R251" s="3"/>
    </row>
    <row r="252" spans="18:18" ht="14.25" customHeight="1" x14ac:dyDescent="0.25">
      <c r="R252" s="3"/>
    </row>
    <row r="253" spans="18:18" ht="14.25" customHeight="1" x14ac:dyDescent="0.25">
      <c r="R253" s="3"/>
    </row>
    <row r="254" spans="18:18" ht="14.25" customHeight="1" x14ac:dyDescent="0.25">
      <c r="R254" s="3"/>
    </row>
    <row r="255" spans="18:18" ht="14.25" customHeight="1" x14ac:dyDescent="0.25">
      <c r="R255" s="3"/>
    </row>
    <row r="256" spans="18:18" ht="14.25" customHeight="1" x14ac:dyDescent="0.25">
      <c r="R256" s="3"/>
    </row>
    <row r="257" spans="18:18" ht="14.25" customHeight="1" x14ac:dyDescent="0.25">
      <c r="R257" s="3"/>
    </row>
    <row r="258" spans="18:18" ht="14.25" customHeight="1" x14ac:dyDescent="0.25">
      <c r="R258" s="3"/>
    </row>
    <row r="259" spans="18:18" ht="14.25" customHeight="1" x14ac:dyDescent="0.25">
      <c r="R259" s="3"/>
    </row>
    <row r="260" spans="18:18" ht="14.25" customHeight="1" x14ac:dyDescent="0.25">
      <c r="R260" s="3"/>
    </row>
    <row r="261" spans="18:18" ht="14.25" customHeight="1" x14ac:dyDescent="0.25">
      <c r="R261" s="3"/>
    </row>
    <row r="262" spans="18:18" ht="14.25" customHeight="1" x14ac:dyDescent="0.25">
      <c r="R262" s="3"/>
    </row>
    <row r="263" spans="18:18" ht="14.25" customHeight="1" x14ac:dyDescent="0.25">
      <c r="R263" s="3"/>
    </row>
    <row r="264" spans="18:18" ht="14.25" customHeight="1" x14ac:dyDescent="0.25">
      <c r="R264" s="3"/>
    </row>
    <row r="265" spans="18:18" ht="14.25" customHeight="1" x14ac:dyDescent="0.25">
      <c r="R265" s="3"/>
    </row>
    <row r="266" spans="18:18" ht="14.25" customHeight="1" x14ac:dyDescent="0.25">
      <c r="R266" s="3"/>
    </row>
    <row r="267" spans="18:18" ht="14.25" customHeight="1" x14ac:dyDescent="0.25">
      <c r="R267" s="3"/>
    </row>
    <row r="268" spans="18:18" ht="14.25" customHeight="1" x14ac:dyDescent="0.25">
      <c r="R268" s="3"/>
    </row>
    <row r="269" spans="18:18" ht="14.25" customHeight="1" x14ac:dyDescent="0.25">
      <c r="R269" s="3"/>
    </row>
    <row r="270" spans="18:18" ht="14.25" customHeight="1" x14ac:dyDescent="0.25">
      <c r="R270" s="3"/>
    </row>
    <row r="271" spans="18:18" ht="14.25" customHeight="1" x14ac:dyDescent="0.25">
      <c r="R271" s="3"/>
    </row>
    <row r="272" spans="18:18" ht="14.25" customHeight="1" x14ac:dyDescent="0.25">
      <c r="R272" s="3"/>
    </row>
    <row r="273" spans="18:18" ht="14.25" customHeight="1" x14ac:dyDescent="0.25">
      <c r="R273" s="3"/>
    </row>
    <row r="274" spans="18:18" ht="14.25" customHeight="1" x14ac:dyDescent="0.25">
      <c r="R274" s="3"/>
    </row>
    <row r="275" spans="18:18" ht="14.25" customHeight="1" x14ac:dyDescent="0.25">
      <c r="R275" s="3"/>
    </row>
    <row r="276" spans="18:18" ht="14.25" customHeight="1" x14ac:dyDescent="0.25">
      <c r="R276" s="3"/>
    </row>
    <row r="277" spans="18:18" ht="14.25" customHeight="1" x14ac:dyDescent="0.25">
      <c r="R277" s="3"/>
    </row>
    <row r="278" spans="18:18" ht="14.25" customHeight="1" x14ac:dyDescent="0.25">
      <c r="R278" s="3"/>
    </row>
    <row r="279" spans="18:18" ht="14.25" customHeight="1" x14ac:dyDescent="0.25">
      <c r="R279" s="3"/>
    </row>
    <row r="280" spans="18:18" ht="14.25" customHeight="1" x14ac:dyDescent="0.25">
      <c r="R280" s="3"/>
    </row>
    <row r="281" spans="18:18" ht="14.25" customHeight="1" x14ac:dyDescent="0.25">
      <c r="R281" s="3"/>
    </row>
    <row r="282" spans="18:18" ht="14.25" customHeight="1" x14ac:dyDescent="0.25">
      <c r="R282" s="3"/>
    </row>
    <row r="283" spans="18:18" ht="14.25" customHeight="1" x14ac:dyDescent="0.25">
      <c r="R283" s="3"/>
    </row>
    <row r="284" spans="18:18" ht="14.25" customHeight="1" x14ac:dyDescent="0.25">
      <c r="R284" s="3"/>
    </row>
    <row r="285" spans="18:18" ht="14.25" customHeight="1" x14ac:dyDescent="0.25">
      <c r="R285" s="3"/>
    </row>
    <row r="286" spans="18:18" ht="14.25" customHeight="1" x14ac:dyDescent="0.25">
      <c r="R286" s="3"/>
    </row>
    <row r="287" spans="18:18" ht="14.25" customHeight="1" x14ac:dyDescent="0.25">
      <c r="R287" s="3"/>
    </row>
    <row r="288" spans="18:18" ht="14.25" customHeight="1" x14ac:dyDescent="0.25">
      <c r="R288" s="3"/>
    </row>
    <row r="289" spans="18:18" ht="14.25" customHeight="1" x14ac:dyDescent="0.25">
      <c r="R289" s="3"/>
    </row>
    <row r="290" spans="18:18" ht="14.25" customHeight="1" x14ac:dyDescent="0.25">
      <c r="R290" s="3"/>
    </row>
    <row r="291" spans="18:18" ht="14.25" customHeight="1" x14ac:dyDescent="0.25">
      <c r="R291" s="3"/>
    </row>
    <row r="292" spans="18:18" ht="14.25" customHeight="1" x14ac:dyDescent="0.25">
      <c r="R292" s="3"/>
    </row>
    <row r="293" spans="18:18" ht="14.25" customHeight="1" x14ac:dyDescent="0.25">
      <c r="R293" s="3"/>
    </row>
    <row r="294" spans="18:18" ht="14.25" customHeight="1" x14ac:dyDescent="0.25">
      <c r="R294" s="3"/>
    </row>
    <row r="295" spans="18:18" ht="14.25" customHeight="1" x14ac:dyDescent="0.25">
      <c r="R295" s="3"/>
    </row>
    <row r="296" spans="18:18" ht="14.25" customHeight="1" x14ac:dyDescent="0.25">
      <c r="R296" s="3"/>
    </row>
    <row r="297" spans="18:18" ht="14.25" customHeight="1" x14ac:dyDescent="0.25">
      <c r="R297" s="3"/>
    </row>
    <row r="298" spans="18:18" ht="14.25" customHeight="1" x14ac:dyDescent="0.25">
      <c r="R298" s="3"/>
    </row>
    <row r="299" spans="18:18" ht="14.25" customHeight="1" x14ac:dyDescent="0.25">
      <c r="R299" s="3"/>
    </row>
    <row r="300" spans="18:18" ht="14.25" customHeight="1" x14ac:dyDescent="0.25">
      <c r="R300" s="3"/>
    </row>
    <row r="301" spans="18:18" ht="14.25" customHeight="1" x14ac:dyDescent="0.25">
      <c r="R301" s="3"/>
    </row>
    <row r="302" spans="18:18" ht="14.25" customHeight="1" x14ac:dyDescent="0.25">
      <c r="R302" s="3"/>
    </row>
    <row r="303" spans="18:18" ht="14.25" customHeight="1" x14ac:dyDescent="0.25">
      <c r="R303" s="3"/>
    </row>
    <row r="304" spans="18:18" ht="14.25" customHeight="1" x14ac:dyDescent="0.25">
      <c r="R304" s="3"/>
    </row>
    <row r="305" spans="18:18" ht="14.25" customHeight="1" x14ac:dyDescent="0.25">
      <c r="R305" s="3"/>
    </row>
    <row r="306" spans="18:18" ht="14.25" customHeight="1" x14ac:dyDescent="0.25">
      <c r="R306" s="3"/>
    </row>
    <row r="307" spans="18:18" ht="14.25" customHeight="1" x14ac:dyDescent="0.25">
      <c r="R307" s="3"/>
    </row>
    <row r="308" spans="18:18" ht="14.25" customHeight="1" x14ac:dyDescent="0.25">
      <c r="R308" s="3"/>
    </row>
    <row r="309" spans="18:18" ht="14.25" customHeight="1" x14ac:dyDescent="0.25">
      <c r="R309" s="3"/>
    </row>
    <row r="310" spans="18:18" ht="14.25" customHeight="1" x14ac:dyDescent="0.25">
      <c r="R310" s="3"/>
    </row>
    <row r="311" spans="18:18" ht="14.25" customHeight="1" x14ac:dyDescent="0.25">
      <c r="R311" s="3"/>
    </row>
    <row r="312" spans="18:18" ht="14.25" customHeight="1" x14ac:dyDescent="0.25">
      <c r="R312" s="3"/>
    </row>
    <row r="313" spans="18:18" ht="14.25" customHeight="1" x14ac:dyDescent="0.25">
      <c r="R313" s="3"/>
    </row>
    <row r="314" spans="18:18" ht="14.25" customHeight="1" x14ac:dyDescent="0.25">
      <c r="R314" s="3"/>
    </row>
    <row r="315" spans="18:18" ht="14.25" customHeight="1" x14ac:dyDescent="0.25">
      <c r="R315" s="3"/>
    </row>
    <row r="316" spans="18:18" ht="14.25" customHeight="1" x14ac:dyDescent="0.25">
      <c r="R316" s="3"/>
    </row>
    <row r="317" spans="18:18" ht="14.25" customHeight="1" x14ac:dyDescent="0.25">
      <c r="R317" s="3"/>
    </row>
    <row r="318" spans="18:18" ht="14.25" customHeight="1" x14ac:dyDescent="0.25">
      <c r="R318" s="3"/>
    </row>
    <row r="319" spans="18:18" ht="14.25" customHeight="1" x14ac:dyDescent="0.25">
      <c r="R319" s="3"/>
    </row>
    <row r="320" spans="18:18" ht="14.25" customHeight="1" x14ac:dyDescent="0.25">
      <c r="R320" s="3"/>
    </row>
    <row r="321" spans="18:18" ht="14.25" customHeight="1" x14ac:dyDescent="0.25">
      <c r="R321" s="3"/>
    </row>
    <row r="322" spans="18:18" ht="14.25" customHeight="1" x14ac:dyDescent="0.25">
      <c r="R322" s="3"/>
    </row>
    <row r="323" spans="18:18" ht="14.25" customHeight="1" x14ac:dyDescent="0.25">
      <c r="R323" s="3"/>
    </row>
    <row r="324" spans="18:18" ht="14.25" customHeight="1" x14ac:dyDescent="0.25">
      <c r="R324" s="3"/>
    </row>
    <row r="325" spans="18:18" ht="14.25" customHeight="1" x14ac:dyDescent="0.25">
      <c r="R325" s="3"/>
    </row>
    <row r="326" spans="18:18" ht="14.25" customHeight="1" x14ac:dyDescent="0.25">
      <c r="R326" s="3"/>
    </row>
    <row r="327" spans="18:18" ht="14.25" customHeight="1" x14ac:dyDescent="0.25">
      <c r="R327" s="3"/>
    </row>
    <row r="328" spans="18:18" ht="14.25" customHeight="1" x14ac:dyDescent="0.25">
      <c r="R328" s="3"/>
    </row>
    <row r="329" spans="18:18" ht="14.25" customHeight="1" x14ac:dyDescent="0.25">
      <c r="R329" s="3"/>
    </row>
    <row r="330" spans="18:18" ht="14.25" customHeight="1" x14ac:dyDescent="0.25">
      <c r="R330" s="3"/>
    </row>
    <row r="331" spans="18:18" ht="14.25" customHeight="1" x14ac:dyDescent="0.25">
      <c r="R331" s="3"/>
    </row>
    <row r="332" spans="18:18" ht="14.25" customHeight="1" x14ac:dyDescent="0.25">
      <c r="R332" s="3"/>
    </row>
    <row r="333" spans="18:18" ht="14.25" customHeight="1" x14ac:dyDescent="0.25">
      <c r="R333" s="3"/>
    </row>
    <row r="334" spans="18:18" ht="14.25" customHeight="1" x14ac:dyDescent="0.25">
      <c r="R334" s="3"/>
    </row>
    <row r="335" spans="18:18" ht="14.25" customHeight="1" x14ac:dyDescent="0.25">
      <c r="R335" s="3"/>
    </row>
    <row r="336" spans="18:18" ht="14.25" customHeight="1" x14ac:dyDescent="0.25">
      <c r="R336" s="3"/>
    </row>
    <row r="337" spans="18:18" ht="14.25" customHeight="1" x14ac:dyDescent="0.25">
      <c r="R337" s="3"/>
    </row>
    <row r="338" spans="18:18" ht="14.25" customHeight="1" x14ac:dyDescent="0.25">
      <c r="R338" s="3"/>
    </row>
    <row r="339" spans="18:18" ht="14.25" customHeight="1" x14ac:dyDescent="0.25">
      <c r="R339" s="3"/>
    </row>
    <row r="340" spans="18:18" ht="14.25" customHeight="1" x14ac:dyDescent="0.25">
      <c r="R340" s="3"/>
    </row>
    <row r="341" spans="18:18" ht="14.25" customHeight="1" x14ac:dyDescent="0.25">
      <c r="R341" s="3"/>
    </row>
    <row r="342" spans="18:18" ht="14.25" customHeight="1" x14ac:dyDescent="0.25">
      <c r="R342" s="3"/>
    </row>
    <row r="343" spans="18:18" ht="14.25" customHeight="1" x14ac:dyDescent="0.25">
      <c r="R343" s="3"/>
    </row>
    <row r="344" spans="18:18" ht="14.25" customHeight="1" x14ac:dyDescent="0.25">
      <c r="R344" s="3"/>
    </row>
    <row r="345" spans="18:18" ht="14.25" customHeight="1" x14ac:dyDescent="0.25">
      <c r="R345" s="3"/>
    </row>
    <row r="346" spans="18:18" ht="14.25" customHeight="1" x14ac:dyDescent="0.25">
      <c r="R346" s="3"/>
    </row>
    <row r="347" spans="18:18" ht="14.25" customHeight="1" x14ac:dyDescent="0.25">
      <c r="R347" s="3"/>
    </row>
    <row r="348" spans="18:18" ht="14.25" customHeight="1" x14ac:dyDescent="0.25">
      <c r="R348" s="3"/>
    </row>
    <row r="349" spans="18:18" ht="14.25" customHeight="1" x14ac:dyDescent="0.25">
      <c r="R349" s="3"/>
    </row>
    <row r="350" spans="18:18" ht="14.25" customHeight="1" x14ac:dyDescent="0.25">
      <c r="R350" s="3"/>
    </row>
    <row r="351" spans="18:18" ht="14.25" customHeight="1" x14ac:dyDescent="0.25">
      <c r="R351" s="3"/>
    </row>
    <row r="352" spans="18:18" ht="14.25" customHeight="1" x14ac:dyDescent="0.25">
      <c r="R352" s="3"/>
    </row>
    <row r="353" spans="18:18" ht="14.25" customHeight="1" x14ac:dyDescent="0.25">
      <c r="R353" s="3"/>
    </row>
    <row r="354" spans="18:18" ht="14.25" customHeight="1" x14ac:dyDescent="0.25">
      <c r="R354" s="3"/>
    </row>
    <row r="355" spans="18:18" ht="14.25" customHeight="1" x14ac:dyDescent="0.25">
      <c r="R355" s="3"/>
    </row>
    <row r="356" spans="18:18" ht="14.25" customHeight="1" x14ac:dyDescent="0.25">
      <c r="R356" s="3"/>
    </row>
    <row r="357" spans="18:18" ht="14.25" customHeight="1" x14ac:dyDescent="0.25">
      <c r="R357" s="3"/>
    </row>
    <row r="358" spans="18:18" ht="14.25" customHeight="1" x14ac:dyDescent="0.25">
      <c r="R358" s="3"/>
    </row>
    <row r="359" spans="18:18" ht="14.25" customHeight="1" x14ac:dyDescent="0.25">
      <c r="R359" s="3"/>
    </row>
    <row r="360" spans="18:18" ht="14.25" customHeight="1" x14ac:dyDescent="0.25">
      <c r="R360" s="3"/>
    </row>
    <row r="361" spans="18:18" ht="14.25" customHeight="1" x14ac:dyDescent="0.25">
      <c r="R361" s="3"/>
    </row>
    <row r="362" spans="18:18" ht="14.25" customHeight="1" x14ac:dyDescent="0.25">
      <c r="R362" s="3"/>
    </row>
    <row r="363" spans="18:18" ht="14.25" customHeight="1" x14ac:dyDescent="0.25">
      <c r="R363" s="3"/>
    </row>
    <row r="364" spans="18:18" ht="14.25" customHeight="1" x14ac:dyDescent="0.25">
      <c r="R364" s="3"/>
    </row>
    <row r="365" spans="18:18" ht="14.25" customHeight="1" x14ac:dyDescent="0.25">
      <c r="R365" s="3"/>
    </row>
    <row r="366" spans="18:18" ht="14.25" customHeight="1" x14ac:dyDescent="0.25">
      <c r="R366" s="3"/>
    </row>
    <row r="367" spans="18:18" ht="14.25" customHeight="1" x14ac:dyDescent="0.25">
      <c r="R367" s="3"/>
    </row>
    <row r="368" spans="18:18" ht="14.25" customHeight="1" x14ac:dyDescent="0.25">
      <c r="R368" s="3"/>
    </row>
    <row r="369" spans="18:18" ht="14.25" customHeight="1" x14ac:dyDescent="0.25">
      <c r="R369" s="3"/>
    </row>
    <row r="370" spans="18:18" ht="14.25" customHeight="1" x14ac:dyDescent="0.25">
      <c r="R370" s="3"/>
    </row>
    <row r="371" spans="18:18" ht="14.25" customHeight="1" x14ac:dyDescent="0.25">
      <c r="R371" s="3"/>
    </row>
    <row r="372" spans="18:18" ht="14.25" customHeight="1" x14ac:dyDescent="0.25">
      <c r="R372" s="3"/>
    </row>
    <row r="373" spans="18:18" ht="14.25" customHeight="1" x14ac:dyDescent="0.25">
      <c r="R373" s="3"/>
    </row>
    <row r="374" spans="18:18" ht="14.25" customHeight="1" x14ac:dyDescent="0.25">
      <c r="R374" s="3"/>
    </row>
    <row r="375" spans="18:18" ht="14.25" customHeight="1" x14ac:dyDescent="0.25">
      <c r="R375" s="3"/>
    </row>
    <row r="376" spans="18:18" ht="14.25" customHeight="1" x14ac:dyDescent="0.25">
      <c r="R376" s="3"/>
    </row>
    <row r="377" spans="18:18" ht="14.25" customHeight="1" x14ac:dyDescent="0.25">
      <c r="R377" s="3"/>
    </row>
    <row r="378" spans="18:18" ht="14.25" customHeight="1" x14ac:dyDescent="0.25">
      <c r="R378" s="3"/>
    </row>
    <row r="379" spans="18:18" ht="14.25" customHeight="1" x14ac:dyDescent="0.25">
      <c r="R379" s="3"/>
    </row>
    <row r="380" spans="18:18" ht="14.25" customHeight="1" x14ac:dyDescent="0.25">
      <c r="R380" s="3"/>
    </row>
    <row r="381" spans="18:18" ht="14.25" customHeight="1" x14ac:dyDescent="0.25">
      <c r="R381" s="3"/>
    </row>
    <row r="382" spans="18:18" ht="14.25" customHeight="1" x14ac:dyDescent="0.25">
      <c r="R382" s="3"/>
    </row>
    <row r="383" spans="18:18" ht="14.25" customHeight="1" x14ac:dyDescent="0.25">
      <c r="R383" s="3"/>
    </row>
    <row r="384" spans="18:18" ht="14.25" customHeight="1" x14ac:dyDescent="0.25">
      <c r="R384" s="3"/>
    </row>
    <row r="385" spans="18:18" ht="14.25" customHeight="1" x14ac:dyDescent="0.25">
      <c r="R385" s="3"/>
    </row>
    <row r="386" spans="18:18" ht="14.25" customHeight="1" x14ac:dyDescent="0.25">
      <c r="R386" s="3"/>
    </row>
    <row r="387" spans="18:18" ht="14.25" customHeight="1" x14ac:dyDescent="0.25">
      <c r="R387" s="3"/>
    </row>
    <row r="388" spans="18:18" ht="14.25" customHeight="1" x14ac:dyDescent="0.25">
      <c r="R388" s="3"/>
    </row>
    <row r="389" spans="18:18" ht="14.25" customHeight="1" x14ac:dyDescent="0.25">
      <c r="R389" s="3"/>
    </row>
    <row r="390" spans="18:18" ht="14.25" customHeight="1" x14ac:dyDescent="0.25">
      <c r="R390" s="3"/>
    </row>
    <row r="391" spans="18:18" ht="14.25" customHeight="1" x14ac:dyDescent="0.25">
      <c r="R391" s="3"/>
    </row>
    <row r="392" spans="18:18" ht="14.25" customHeight="1" x14ac:dyDescent="0.25">
      <c r="R392" s="3"/>
    </row>
    <row r="393" spans="18:18" ht="14.25" customHeight="1" x14ac:dyDescent="0.25">
      <c r="R393" s="3"/>
    </row>
    <row r="394" spans="18:18" ht="14.25" customHeight="1" x14ac:dyDescent="0.25">
      <c r="R394" s="3"/>
    </row>
    <row r="395" spans="18:18" ht="14.25" customHeight="1" x14ac:dyDescent="0.25">
      <c r="R395" s="3"/>
    </row>
    <row r="396" spans="18:18" ht="14.25" customHeight="1" x14ac:dyDescent="0.25">
      <c r="R396" s="3"/>
    </row>
    <row r="397" spans="18:18" ht="14.25" customHeight="1" x14ac:dyDescent="0.25">
      <c r="R397" s="3"/>
    </row>
    <row r="398" spans="18:18" ht="14.25" customHeight="1" x14ac:dyDescent="0.25">
      <c r="R398" s="3"/>
    </row>
    <row r="399" spans="18:18" ht="14.25" customHeight="1" x14ac:dyDescent="0.25">
      <c r="R399" s="3"/>
    </row>
    <row r="400" spans="18:18" ht="14.25" customHeight="1" x14ac:dyDescent="0.25">
      <c r="R400" s="3"/>
    </row>
    <row r="401" spans="18:18" ht="14.25" customHeight="1" x14ac:dyDescent="0.25">
      <c r="R401" s="3"/>
    </row>
    <row r="402" spans="18:18" ht="14.25" customHeight="1" x14ac:dyDescent="0.25">
      <c r="R402" s="3"/>
    </row>
    <row r="403" spans="18:18" ht="14.25" customHeight="1" x14ac:dyDescent="0.25">
      <c r="R403" s="3"/>
    </row>
    <row r="404" spans="18:18" ht="14.25" customHeight="1" x14ac:dyDescent="0.25">
      <c r="R404" s="3"/>
    </row>
    <row r="405" spans="18:18" ht="14.25" customHeight="1" x14ac:dyDescent="0.25">
      <c r="R405" s="3"/>
    </row>
    <row r="406" spans="18:18" ht="14.25" customHeight="1" x14ac:dyDescent="0.25">
      <c r="R406" s="3"/>
    </row>
    <row r="407" spans="18:18" ht="14.25" customHeight="1" x14ac:dyDescent="0.25">
      <c r="R407" s="3"/>
    </row>
    <row r="408" spans="18:18" ht="14.25" customHeight="1" x14ac:dyDescent="0.25">
      <c r="R408" s="3"/>
    </row>
    <row r="409" spans="18:18" ht="14.25" customHeight="1" x14ac:dyDescent="0.25">
      <c r="R409" s="3"/>
    </row>
    <row r="410" spans="18:18" ht="14.25" customHeight="1" x14ac:dyDescent="0.25">
      <c r="R410" s="3"/>
    </row>
    <row r="411" spans="18:18" ht="14.25" customHeight="1" x14ac:dyDescent="0.25">
      <c r="R411" s="3"/>
    </row>
    <row r="412" spans="18:18" ht="14.25" customHeight="1" x14ac:dyDescent="0.25">
      <c r="R412" s="3"/>
    </row>
    <row r="413" spans="18:18" ht="14.25" customHeight="1" x14ac:dyDescent="0.25">
      <c r="R413" s="3"/>
    </row>
    <row r="414" spans="18:18" ht="14.25" customHeight="1" x14ac:dyDescent="0.25">
      <c r="R414" s="3"/>
    </row>
    <row r="415" spans="18:18" ht="14.25" customHeight="1" x14ac:dyDescent="0.25">
      <c r="R415" s="3"/>
    </row>
    <row r="416" spans="18:18" ht="14.25" customHeight="1" x14ac:dyDescent="0.25">
      <c r="R416" s="3"/>
    </row>
    <row r="417" spans="18:18" ht="14.25" customHeight="1" x14ac:dyDescent="0.25">
      <c r="R417" s="3"/>
    </row>
    <row r="418" spans="18:18" ht="14.25" customHeight="1" x14ac:dyDescent="0.25">
      <c r="R418" s="3"/>
    </row>
    <row r="419" spans="18:18" ht="14.25" customHeight="1" x14ac:dyDescent="0.25">
      <c r="R419" s="3"/>
    </row>
    <row r="420" spans="18:18" ht="14.25" customHeight="1" x14ac:dyDescent="0.25">
      <c r="R420" s="3"/>
    </row>
    <row r="421" spans="18:18" ht="14.25" customHeight="1" x14ac:dyDescent="0.25">
      <c r="R421" s="3"/>
    </row>
    <row r="422" spans="18:18" ht="14.25" customHeight="1" x14ac:dyDescent="0.25">
      <c r="R422" s="3"/>
    </row>
    <row r="423" spans="18:18" ht="14.25" customHeight="1" x14ac:dyDescent="0.25">
      <c r="R423" s="3"/>
    </row>
    <row r="424" spans="18:18" ht="14.25" customHeight="1" x14ac:dyDescent="0.25">
      <c r="R424" s="3"/>
    </row>
    <row r="425" spans="18:18" ht="14.25" customHeight="1" x14ac:dyDescent="0.25">
      <c r="R425" s="3"/>
    </row>
    <row r="426" spans="18:18" ht="14.25" customHeight="1" x14ac:dyDescent="0.25">
      <c r="R426" s="3"/>
    </row>
    <row r="427" spans="18:18" ht="14.25" customHeight="1" x14ac:dyDescent="0.25">
      <c r="R427" s="3"/>
    </row>
    <row r="428" spans="18:18" ht="14.25" customHeight="1" x14ac:dyDescent="0.25">
      <c r="R428" s="3"/>
    </row>
    <row r="429" spans="18:18" ht="14.25" customHeight="1" x14ac:dyDescent="0.25">
      <c r="R429" s="3"/>
    </row>
    <row r="430" spans="18:18" ht="14.25" customHeight="1" x14ac:dyDescent="0.25">
      <c r="R430" s="3"/>
    </row>
    <row r="431" spans="18:18" ht="14.25" customHeight="1" x14ac:dyDescent="0.25">
      <c r="R431" s="3"/>
    </row>
    <row r="432" spans="18:18" ht="14.25" customHeight="1" x14ac:dyDescent="0.25">
      <c r="R432" s="3"/>
    </row>
    <row r="433" spans="18:18" ht="14.25" customHeight="1" x14ac:dyDescent="0.25">
      <c r="R433" s="3"/>
    </row>
    <row r="434" spans="18:18" ht="14.25" customHeight="1" x14ac:dyDescent="0.25">
      <c r="R434" s="3"/>
    </row>
    <row r="435" spans="18:18" ht="14.25" customHeight="1" x14ac:dyDescent="0.25">
      <c r="R435" s="3"/>
    </row>
    <row r="436" spans="18:18" ht="14.25" customHeight="1" x14ac:dyDescent="0.25">
      <c r="R436" s="3"/>
    </row>
    <row r="437" spans="18:18" ht="14.25" customHeight="1" x14ac:dyDescent="0.25">
      <c r="R437" s="3"/>
    </row>
    <row r="438" spans="18:18" ht="14.25" customHeight="1" x14ac:dyDescent="0.25">
      <c r="R438" s="3"/>
    </row>
    <row r="439" spans="18:18" ht="14.25" customHeight="1" x14ac:dyDescent="0.25">
      <c r="R439" s="3"/>
    </row>
    <row r="440" spans="18:18" ht="14.25" customHeight="1" x14ac:dyDescent="0.25">
      <c r="R440" s="3"/>
    </row>
    <row r="441" spans="18:18" ht="14.25" customHeight="1" x14ac:dyDescent="0.25">
      <c r="R441" s="3"/>
    </row>
    <row r="442" spans="18:18" ht="14.25" customHeight="1" x14ac:dyDescent="0.25">
      <c r="R442" s="3"/>
    </row>
    <row r="443" spans="18:18" ht="14.25" customHeight="1" x14ac:dyDescent="0.25">
      <c r="R443" s="3"/>
    </row>
    <row r="444" spans="18:18" ht="14.25" customHeight="1" x14ac:dyDescent="0.25">
      <c r="R444" s="3"/>
    </row>
    <row r="445" spans="18:18" ht="14.25" customHeight="1" x14ac:dyDescent="0.25">
      <c r="R445" s="3"/>
    </row>
    <row r="446" spans="18:18" ht="14.25" customHeight="1" x14ac:dyDescent="0.25">
      <c r="R446" s="3"/>
    </row>
    <row r="447" spans="18:18" ht="14.25" customHeight="1" x14ac:dyDescent="0.25">
      <c r="R447" s="3"/>
    </row>
    <row r="448" spans="18:18" ht="14.25" customHeight="1" x14ac:dyDescent="0.25">
      <c r="R448" s="3"/>
    </row>
    <row r="449" spans="18:18" ht="14.25" customHeight="1" x14ac:dyDescent="0.25">
      <c r="R449" s="3"/>
    </row>
    <row r="450" spans="18:18" ht="14.25" customHeight="1" x14ac:dyDescent="0.25">
      <c r="R450" s="3"/>
    </row>
    <row r="451" spans="18:18" ht="14.25" customHeight="1" x14ac:dyDescent="0.25">
      <c r="R451" s="3"/>
    </row>
    <row r="452" spans="18:18" ht="14.25" customHeight="1" x14ac:dyDescent="0.25">
      <c r="R452" s="3"/>
    </row>
    <row r="453" spans="18:18" ht="14.25" customHeight="1" x14ac:dyDescent="0.25">
      <c r="R453" s="3"/>
    </row>
    <row r="454" spans="18:18" ht="14.25" customHeight="1" x14ac:dyDescent="0.25">
      <c r="R454" s="3"/>
    </row>
    <row r="455" spans="18:18" ht="14.25" customHeight="1" x14ac:dyDescent="0.25">
      <c r="R455" s="3"/>
    </row>
    <row r="456" spans="18:18" ht="14.25" customHeight="1" x14ac:dyDescent="0.25">
      <c r="R456" s="3"/>
    </row>
    <row r="457" spans="18:18" ht="14.25" customHeight="1" x14ac:dyDescent="0.25">
      <c r="R457" s="3"/>
    </row>
    <row r="458" spans="18:18" ht="14.25" customHeight="1" x14ac:dyDescent="0.25">
      <c r="R458" s="3"/>
    </row>
    <row r="459" spans="18:18" ht="14.25" customHeight="1" x14ac:dyDescent="0.25">
      <c r="R459" s="3"/>
    </row>
    <row r="460" spans="18:18" ht="14.25" customHeight="1" x14ac:dyDescent="0.25">
      <c r="R460" s="3"/>
    </row>
    <row r="461" spans="18:18" ht="14.25" customHeight="1" x14ac:dyDescent="0.25">
      <c r="R461" s="3"/>
    </row>
    <row r="462" spans="18:18" ht="14.25" customHeight="1" x14ac:dyDescent="0.25">
      <c r="R462" s="3"/>
    </row>
    <row r="463" spans="18:18" ht="14.25" customHeight="1" x14ac:dyDescent="0.25">
      <c r="R463" s="3"/>
    </row>
    <row r="464" spans="18:18" ht="14.25" customHeight="1" x14ac:dyDescent="0.25">
      <c r="R464" s="3"/>
    </row>
    <row r="465" spans="18:18" ht="14.25" customHeight="1" x14ac:dyDescent="0.25">
      <c r="R465" s="3"/>
    </row>
    <row r="466" spans="18:18" ht="14.25" customHeight="1" x14ac:dyDescent="0.25">
      <c r="R466" s="3"/>
    </row>
    <row r="467" spans="18:18" ht="14.25" customHeight="1" x14ac:dyDescent="0.25">
      <c r="R467" s="3"/>
    </row>
    <row r="468" spans="18:18" ht="14.25" customHeight="1" x14ac:dyDescent="0.25">
      <c r="R468" s="3"/>
    </row>
    <row r="469" spans="18:18" ht="14.25" customHeight="1" x14ac:dyDescent="0.25">
      <c r="R469" s="3"/>
    </row>
    <row r="470" spans="18:18" ht="14.25" customHeight="1" x14ac:dyDescent="0.25">
      <c r="R470" s="3"/>
    </row>
    <row r="471" spans="18:18" ht="14.25" customHeight="1" x14ac:dyDescent="0.25">
      <c r="R471" s="3"/>
    </row>
    <row r="472" spans="18:18" ht="14.25" customHeight="1" x14ac:dyDescent="0.25">
      <c r="R472" s="3"/>
    </row>
    <row r="473" spans="18:18" ht="14.25" customHeight="1" x14ac:dyDescent="0.25">
      <c r="R473" s="3"/>
    </row>
    <row r="474" spans="18:18" ht="14.25" customHeight="1" x14ac:dyDescent="0.25">
      <c r="R474" s="3"/>
    </row>
    <row r="475" spans="18:18" ht="14.25" customHeight="1" x14ac:dyDescent="0.25">
      <c r="R475" s="3"/>
    </row>
    <row r="476" spans="18:18" ht="14.25" customHeight="1" x14ac:dyDescent="0.25">
      <c r="R476" s="3"/>
    </row>
    <row r="477" spans="18:18" ht="14.25" customHeight="1" x14ac:dyDescent="0.25">
      <c r="R477" s="3"/>
    </row>
    <row r="478" spans="18:18" ht="14.25" customHeight="1" x14ac:dyDescent="0.25">
      <c r="R478" s="3"/>
    </row>
    <row r="479" spans="18:18" ht="14.25" customHeight="1" x14ac:dyDescent="0.25">
      <c r="R479" s="3"/>
    </row>
    <row r="480" spans="18:18" ht="14.25" customHeight="1" x14ac:dyDescent="0.25">
      <c r="R480" s="3"/>
    </row>
    <row r="481" spans="18:18" ht="14.25" customHeight="1" x14ac:dyDescent="0.25">
      <c r="R481" s="3"/>
    </row>
    <row r="482" spans="18:18" ht="14.25" customHeight="1" x14ac:dyDescent="0.25">
      <c r="R482" s="3"/>
    </row>
    <row r="483" spans="18:18" ht="14.25" customHeight="1" x14ac:dyDescent="0.25">
      <c r="R483" s="3"/>
    </row>
    <row r="484" spans="18:18" ht="14.25" customHeight="1" x14ac:dyDescent="0.25">
      <c r="R484" s="3"/>
    </row>
    <row r="485" spans="18:18" ht="14.25" customHeight="1" x14ac:dyDescent="0.25">
      <c r="R485" s="3"/>
    </row>
    <row r="486" spans="18:18" ht="14.25" customHeight="1" x14ac:dyDescent="0.25">
      <c r="R486" s="3"/>
    </row>
    <row r="487" spans="18:18" ht="14.25" customHeight="1" x14ac:dyDescent="0.25">
      <c r="R487" s="3"/>
    </row>
    <row r="488" spans="18:18" ht="14.25" customHeight="1" x14ac:dyDescent="0.25">
      <c r="R488" s="3"/>
    </row>
    <row r="489" spans="18:18" ht="14.25" customHeight="1" x14ac:dyDescent="0.25">
      <c r="R489" s="3"/>
    </row>
    <row r="490" spans="18:18" ht="14.25" customHeight="1" x14ac:dyDescent="0.25">
      <c r="R490" s="3"/>
    </row>
    <row r="491" spans="18:18" ht="14.25" customHeight="1" x14ac:dyDescent="0.25">
      <c r="R491" s="3"/>
    </row>
    <row r="492" spans="18:18" ht="14.25" customHeight="1" x14ac:dyDescent="0.25">
      <c r="R492" s="3"/>
    </row>
    <row r="493" spans="18:18" ht="14.25" customHeight="1" x14ac:dyDescent="0.25">
      <c r="R493" s="3"/>
    </row>
    <row r="494" spans="18:18" ht="14.25" customHeight="1" x14ac:dyDescent="0.25">
      <c r="R494" s="3"/>
    </row>
    <row r="495" spans="18:18" ht="14.25" customHeight="1" x14ac:dyDescent="0.25">
      <c r="R495" s="3"/>
    </row>
    <row r="496" spans="18:18" ht="14.25" customHeight="1" x14ac:dyDescent="0.25">
      <c r="R496" s="3"/>
    </row>
    <row r="497" spans="18:18" ht="14.25" customHeight="1" x14ac:dyDescent="0.25">
      <c r="R497" s="3"/>
    </row>
    <row r="498" spans="18:18" ht="14.25" customHeight="1" x14ac:dyDescent="0.25">
      <c r="R498" s="3"/>
    </row>
    <row r="499" spans="18:18" ht="14.25" customHeight="1" x14ac:dyDescent="0.25">
      <c r="R499" s="3"/>
    </row>
    <row r="500" spans="18:18" ht="14.25" customHeight="1" x14ac:dyDescent="0.25">
      <c r="R500" s="3"/>
    </row>
    <row r="501" spans="18:18" ht="14.25" customHeight="1" x14ac:dyDescent="0.25">
      <c r="R501" s="3"/>
    </row>
    <row r="502" spans="18:18" ht="14.25" customHeight="1" x14ac:dyDescent="0.25">
      <c r="R502" s="3"/>
    </row>
    <row r="503" spans="18:18" ht="14.25" customHeight="1" x14ac:dyDescent="0.25">
      <c r="R503" s="3"/>
    </row>
    <row r="504" spans="18:18" ht="14.25" customHeight="1" x14ac:dyDescent="0.25">
      <c r="R504" s="3"/>
    </row>
    <row r="505" spans="18:18" ht="14.25" customHeight="1" x14ac:dyDescent="0.25">
      <c r="R505" s="3"/>
    </row>
    <row r="506" spans="18:18" ht="14.25" customHeight="1" x14ac:dyDescent="0.25">
      <c r="R506" s="3"/>
    </row>
    <row r="507" spans="18:18" ht="14.25" customHeight="1" x14ac:dyDescent="0.25">
      <c r="R507" s="3"/>
    </row>
    <row r="508" spans="18:18" ht="14.25" customHeight="1" x14ac:dyDescent="0.25">
      <c r="R508" s="3"/>
    </row>
    <row r="509" spans="18:18" ht="14.25" customHeight="1" x14ac:dyDescent="0.25">
      <c r="R509" s="3"/>
    </row>
    <row r="510" spans="18:18" ht="14.25" customHeight="1" x14ac:dyDescent="0.25">
      <c r="R510" s="3"/>
    </row>
    <row r="511" spans="18:18" ht="14.25" customHeight="1" x14ac:dyDescent="0.25">
      <c r="R511" s="3"/>
    </row>
    <row r="512" spans="18:18" ht="14.25" customHeight="1" x14ac:dyDescent="0.25">
      <c r="R512" s="3"/>
    </row>
    <row r="513" spans="18:18" ht="14.25" customHeight="1" x14ac:dyDescent="0.25">
      <c r="R513" s="3"/>
    </row>
    <row r="514" spans="18:18" ht="14.25" customHeight="1" x14ac:dyDescent="0.25">
      <c r="R514" s="3"/>
    </row>
    <row r="515" spans="18:18" ht="14.25" customHeight="1" x14ac:dyDescent="0.25">
      <c r="R515" s="3"/>
    </row>
    <row r="516" spans="18:18" ht="14.25" customHeight="1" x14ac:dyDescent="0.25">
      <c r="R516" s="3"/>
    </row>
    <row r="517" spans="18:18" ht="14.25" customHeight="1" x14ac:dyDescent="0.25">
      <c r="R517" s="3"/>
    </row>
    <row r="518" spans="18:18" ht="14.25" customHeight="1" x14ac:dyDescent="0.25">
      <c r="R518" s="3"/>
    </row>
    <row r="519" spans="18:18" ht="14.25" customHeight="1" x14ac:dyDescent="0.25">
      <c r="R519" s="3"/>
    </row>
    <row r="520" spans="18:18" ht="14.25" customHeight="1" x14ac:dyDescent="0.25">
      <c r="R520" s="3"/>
    </row>
    <row r="521" spans="18:18" ht="14.25" customHeight="1" x14ac:dyDescent="0.25">
      <c r="R521" s="3"/>
    </row>
    <row r="522" spans="18:18" ht="14.25" customHeight="1" x14ac:dyDescent="0.25">
      <c r="R522" s="3"/>
    </row>
    <row r="523" spans="18:18" ht="14.25" customHeight="1" x14ac:dyDescent="0.25">
      <c r="R523" s="3"/>
    </row>
    <row r="524" spans="18:18" ht="14.25" customHeight="1" x14ac:dyDescent="0.25">
      <c r="R524" s="3"/>
    </row>
    <row r="525" spans="18:18" ht="14.25" customHeight="1" x14ac:dyDescent="0.25">
      <c r="R525" s="3"/>
    </row>
    <row r="526" spans="18:18" ht="14.25" customHeight="1" x14ac:dyDescent="0.25">
      <c r="R526" s="3"/>
    </row>
    <row r="527" spans="18:18" ht="14.25" customHeight="1" x14ac:dyDescent="0.25">
      <c r="R527" s="3"/>
    </row>
    <row r="528" spans="18:18" ht="14.25" customHeight="1" x14ac:dyDescent="0.25">
      <c r="R528" s="3"/>
    </row>
    <row r="529" spans="18:18" ht="14.25" customHeight="1" x14ac:dyDescent="0.25">
      <c r="R529" s="3"/>
    </row>
    <row r="530" spans="18:18" ht="14.25" customHeight="1" x14ac:dyDescent="0.25">
      <c r="R530" s="3"/>
    </row>
    <row r="531" spans="18:18" ht="14.25" customHeight="1" x14ac:dyDescent="0.25">
      <c r="R531" s="3"/>
    </row>
    <row r="532" spans="18:18" ht="14.25" customHeight="1" x14ac:dyDescent="0.25">
      <c r="R532" s="3"/>
    </row>
    <row r="533" spans="18:18" ht="14.25" customHeight="1" x14ac:dyDescent="0.25">
      <c r="R533" s="3"/>
    </row>
    <row r="534" spans="18:18" ht="14.25" customHeight="1" x14ac:dyDescent="0.25">
      <c r="R534" s="3"/>
    </row>
    <row r="535" spans="18:18" ht="14.25" customHeight="1" x14ac:dyDescent="0.25">
      <c r="R535" s="3"/>
    </row>
    <row r="536" spans="18:18" ht="14.25" customHeight="1" x14ac:dyDescent="0.25">
      <c r="R536" s="3"/>
    </row>
    <row r="537" spans="18:18" ht="14.25" customHeight="1" x14ac:dyDescent="0.25">
      <c r="R537" s="3"/>
    </row>
    <row r="538" spans="18:18" ht="14.25" customHeight="1" x14ac:dyDescent="0.25">
      <c r="R538" s="3"/>
    </row>
    <row r="539" spans="18:18" ht="14.25" customHeight="1" x14ac:dyDescent="0.25">
      <c r="R539" s="3"/>
    </row>
    <row r="540" spans="18:18" ht="14.25" customHeight="1" x14ac:dyDescent="0.25">
      <c r="R540" s="3"/>
    </row>
    <row r="541" spans="18:18" ht="14.25" customHeight="1" x14ac:dyDescent="0.25">
      <c r="R541" s="3"/>
    </row>
    <row r="542" spans="18:18" ht="14.25" customHeight="1" x14ac:dyDescent="0.25">
      <c r="R542" s="3"/>
    </row>
    <row r="543" spans="18:18" ht="14.25" customHeight="1" x14ac:dyDescent="0.25">
      <c r="R543" s="3"/>
    </row>
    <row r="544" spans="18:18" ht="14.25" customHeight="1" x14ac:dyDescent="0.25">
      <c r="R544" s="3"/>
    </row>
    <row r="545" spans="18:18" ht="14.25" customHeight="1" x14ac:dyDescent="0.25">
      <c r="R545" s="3"/>
    </row>
    <row r="546" spans="18:18" ht="14.25" customHeight="1" x14ac:dyDescent="0.25">
      <c r="R546" s="3"/>
    </row>
    <row r="547" spans="18:18" ht="14.25" customHeight="1" x14ac:dyDescent="0.25">
      <c r="R547" s="3"/>
    </row>
    <row r="548" spans="18:18" ht="14.25" customHeight="1" x14ac:dyDescent="0.25">
      <c r="R548" s="3"/>
    </row>
    <row r="549" spans="18:18" ht="14.25" customHeight="1" x14ac:dyDescent="0.25">
      <c r="R549" s="3"/>
    </row>
    <row r="550" spans="18:18" ht="14.25" customHeight="1" x14ac:dyDescent="0.25">
      <c r="R550" s="3"/>
    </row>
    <row r="551" spans="18:18" ht="14.25" customHeight="1" x14ac:dyDescent="0.25">
      <c r="R551" s="3"/>
    </row>
    <row r="552" spans="18:18" ht="14.25" customHeight="1" x14ac:dyDescent="0.25">
      <c r="R552" s="3"/>
    </row>
    <row r="553" spans="18:18" ht="14.25" customHeight="1" x14ac:dyDescent="0.25">
      <c r="R553" s="3"/>
    </row>
    <row r="554" spans="18:18" ht="14.25" customHeight="1" x14ac:dyDescent="0.25">
      <c r="R554" s="3"/>
    </row>
    <row r="555" spans="18:18" ht="14.25" customHeight="1" x14ac:dyDescent="0.25">
      <c r="R555" s="3"/>
    </row>
    <row r="556" spans="18:18" ht="14.25" customHeight="1" x14ac:dyDescent="0.25">
      <c r="R556" s="3"/>
    </row>
    <row r="557" spans="18:18" ht="14.25" customHeight="1" x14ac:dyDescent="0.25">
      <c r="R557" s="3"/>
    </row>
  </sheetData>
  <sortState xmlns:xlrd2="http://schemas.microsoft.com/office/spreadsheetml/2017/richdata2" ref="A10:A55">
    <sortCondition ref="A10:A55"/>
  </sortState>
  <pageMargins left="0.7" right="0.7" top="0.75" bottom="0.75" header="0" footer="0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6C14D2C-F2A6-4F2C-B2A9-A2AF6AD3F6DF}">
          <x14:formula1>
            <xm:f>Lists!$C$4:$C$33</xm:f>
          </x14:formula1>
          <xm:sqref>B7:B40 B45:B56 B62:B133</xm:sqref>
        </x14:dataValidation>
        <x14:dataValidation type="list" allowBlank="1" showInputMessage="1" showErrorMessage="1" xr:uid="{6009718A-BD4B-47D1-99CB-5BBADA912CBA}">
          <x14:formula1>
            <xm:f>Lists!$C$4:$C$36</xm:f>
          </x14:formula1>
          <xm:sqref>B41:B44 B57:B61 B134:B143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8B9D3-B7F3-4C9D-AD56-E039B28ADCE2}">
  <sheetPr codeName="Sheet7"/>
  <dimension ref="B2:I52"/>
  <sheetViews>
    <sheetView workbookViewId="0">
      <selection activeCell="C39" sqref="C39"/>
    </sheetView>
  </sheetViews>
  <sheetFormatPr defaultColWidth="9" defaultRowHeight="15" x14ac:dyDescent="0.25"/>
  <cols>
    <col min="2" max="2" width="10.5703125" bestFit="1" customWidth="1"/>
    <col min="3" max="3" width="23.5703125" bestFit="1" customWidth="1"/>
  </cols>
  <sheetData>
    <row r="2" spans="2:9" ht="15.75" x14ac:dyDescent="0.25">
      <c r="B2" s="24" t="s">
        <v>18</v>
      </c>
      <c r="C2" s="24"/>
      <c r="E2" s="1" t="s">
        <v>19</v>
      </c>
      <c r="G2" t="s">
        <v>20</v>
      </c>
      <c r="I2" t="s">
        <v>85</v>
      </c>
    </row>
    <row r="3" spans="2:9" x14ac:dyDescent="0.25">
      <c r="B3" t="s">
        <v>21</v>
      </c>
      <c r="C3" t="s">
        <v>1</v>
      </c>
      <c r="E3" t="s">
        <v>1</v>
      </c>
      <c r="G3" t="s">
        <v>1</v>
      </c>
      <c r="I3" t="s">
        <v>86</v>
      </c>
    </row>
    <row r="4" spans="2:9" x14ac:dyDescent="0.25">
      <c r="B4" t="s">
        <v>22</v>
      </c>
      <c r="C4" t="s">
        <v>16</v>
      </c>
      <c r="E4" s="2" t="s">
        <v>23</v>
      </c>
      <c r="G4" t="s">
        <v>2</v>
      </c>
      <c r="I4" t="s">
        <v>87</v>
      </c>
    </row>
    <row r="5" spans="2:9" x14ac:dyDescent="0.25">
      <c r="B5" t="s">
        <v>24</v>
      </c>
      <c r="C5" t="s">
        <v>17</v>
      </c>
      <c r="E5" s="2" t="s">
        <v>8</v>
      </c>
      <c r="G5" t="s">
        <v>25</v>
      </c>
      <c r="I5" t="s">
        <v>88</v>
      </c>
    </row>
    <row r="6" spans="2:9" x14ac:dyDescent="0.25">
      <c r="B6" t="s">
        <v>24</v>
      </c>
      <c r="C6" t="s">
        <v>26</v>
      </c>
    </row>
    <row r="7" spans="2:9" x14ac:dyDescent="0.25">
      <c r="B7" t="s">
        <v>24</v>
      </c>
      <c r="C7" t="s">
        <v>27</v>
      </c>
    </row>
    <row r="8" spans="2:9" x14ac:dyDescent="0.25">
      <c r="B8" t="s">
        <v>28</v>
      </c>
      <c r="C8" t="s">
        <v>14</v>
      </c>
    </row>
    <row r="9" spans="2:9" x14ac:dyDescent="0.25">
      <c r="B9" t="s">
        <v>28</v>
      </c>
      <c r="C9" t="s">
        <v>15</v>
      </c>
    </row>
    <row r="10" spans="2:9" x14ac:dyDescent="0.25">
      <c r="B10" t="s">
        <v>28</v>
      </c>
      <c r="C10" t="s">
        <v>13</v>
      </c>
    </row>
    <row r="11" spans="2:9" x14ac:dyDescent="0.25">
      <c r="B11" t="s">
        <v>28</v>
      </c>
      <c r="C11" t="s">
        <v>29</v>
      </c>
    </row>
    <row r="12" spans="2:9" x14ac:dyDescent="0.25">
      <c r="B12" t="s">
        <v>30</v>
      </c>
      <c r="C12" t="s">
        <v>31</v>
      </c>
    </row>
    <row r="13" spans="2:9" x14ac:dyDescent="0.25">
      <c r="B13" t="s">
        <v>30</v>
      </c>
      <c r="C13" t="s">
        <v>32</v>
      </c>
    </row>
    <row r="14" spans="2:9" x14ac:dyDescent="0.25">
      <c r="B14" t="s">
        <v>30</v>
      </c>
      <c r="C14" t="s">
        <v>33</v>
      </c>
    </row>
    <row r="15" spans="2:9" x14ac:dyDescent="0.25">
      <c r="B15" t="s">
        <v>30</v>
      </c>
      <c r="C15" t="s">
        <v>7</v>
      </c>
    </row>
    <row r="16" spans="2:9" x14ac:dyDescent="0.25">
      <c r="B16" t="s">
        <v>30</v>
      </c>
      <c r="C16" t="s">
        <v>9</v>
      </c>
    </row>
    <row r="17" spans="2:3" x14ac:dyDescent="0.25">
      <c r="B17" t="s">
        <v>30</v>
      </c>
      <c r="C17" t="s">
        <v>10</v>
      </c>
    </row>
    <row r="18" spans="2:3" x14ac:dyDescent="0.25">
      <c r="B18" t="s">
        <v>30</v>
      </c>
      <c r="C18" t="s">
        <v>34</v>
      </c>
    </row>
    <row r="19" spans="2:3" x14ac:dyDescent="0.25">
      <c r="B19" t="s">
        <v>30</v>
      </c>
      <c r="C19" t="s">
        <v>35</v>
      </c>
    </row>
    <row r="20" spans="2:3" x14ac:dyDescent="0.25">
      <c r="B20" t="s">
        <v>30</v>
      </c>
      <c r="C20" t="s">
        <v>36</v>
      </c>
    </row>
    <row r="21" spans="2:3" x14ac:dyDescent="0.25">
      <c r="B21" t="s">
        <v>30</v>
      </c>
      <c r="C21" t="s">
        <v>37</v>
      </c>
    </row>
    <row r="22" spans="2:3" x14ac:dyDescent="0.25">
      <c r="B22" t="s">
        <v>30</v>
      </c>
      <c r="C22" t="s">
        <v>38</v>
      </c>
    </row>
    <row r="23" spans="2:3" x14ac:dyDescent="0.25">
      <c r="B23" t="s">
        <v>39</v>
      </c>
      <c r="C23" t="s">
        <v>40</v>
      </c>
    </row>
    <row r="24" spans="2:3" x14ac:dyDescent="0.25">
      <c r="B24" t="s">
        <v>39</v>
      </c>
      <c r="C24" t="s">
        <v>41</v>
      </c>
    </row>
    <row r="25" spans="2:3" x14ac:dyDescent="0.25">
      <c r="B25" t="s">
        <v>42</v>
      </c>
      <c r="C25" t="s">
        <v>43</v>
      </c>
    </row>
    <row r="26" spans="2:3" x14ac:dyDescent="0.25">
      <c r="B26" t="s">
        <v>42</v>
      </c>
      <c r="C26" t="s">
        <v>44</v>
      </c>
    </row>
    <row r="27" spans="2:3" x14ac:dyDescent="0.25">
      <c r="B27" t="s">
        <v>42</v>
      </c>
      <c r="C27" t="s">
        <v>45</v>
      </c>
    </row>
    <row r="28" spans="2:3" x14ac:dyDescent="0.25">
      <c r="B28" t="s">
        <v>46</v>
      </c>
      <c r="C28" t="s">
        <v>11</v>
      </c>
    </row>
    <row r="29" spans="2:3" x14ac:dyDescent="0.25">
      <c r="B29" t="s">
        <v>46</v>
      </c>
      <c r="C29" t="s">
        <v>47</v>
      </c>
    </row>
    <row r="30" spans="2:3" x14ac:dyDescent="0.25">
      <c r="C30" t="s">
        <v>12</v>
      </c>
    </row>
    <row r="31" spans="2:3" x14ac:dyDescent="0.25">
      <c r="C31" t="s">
        <v>56</v>
      </c>
    </row>
    <row r="32" spans="2:3" x14ac:dyDescent="0.25">
      <c r="C32" t="s">
        <v>80</v>
      </c>
    </row>
    <row r="33" spans="3:5" x14ac:dyDescent="0.25">
      <c r="C33" t="s">
        <v>81</v>
      </c>
    </row>
    <row r="34" spans="3:5" x14ac:dyDescent="0.25">
      <c r="C34" t="s">
        <v>162</v>
      </c>
    </row>
    <row r="35" spans="3:5" x14ac:dyDescent="0.25">
      <c r="C35" t="s">
        <v>163</v>
      </c>
    </row>
    <row r="36" spans="3:5" x14ac:dyDescent="0.25">
      <c r="C36" t="s">
        <v>164</v>
      </c>
    </row>
    <row r="46" spans="3:5" x14ac:dyDescent="0.25">
      <c r="C46" t="s">
        <v>65</v>
      </c>
    </row>
    <row r="47" spans="3:5" x14ac:dyDescent="0.25">
      <c r="C47" t="s">
        <v>66</v>
      </c>
    </row>
    <row r="48" spans="3:5" x14ac:dyDescent="0.25">
      <c r="C48" t="s">
        <v>67</v>
      </c>
      <c r="D48" t="s">
        <v>68</v>
      </c>
      <c r="E48" s="13" t="s">
        <v>69</v>
      </c>
    </row>
    <row r="49" spans="3:4" x14ac:dyDescent="0.25">
      <c r="C49" t="s">
        <v>70</v>
      </c>
    </row>
    <row r="50" spans="3:4" x14ac:dyDescent="0.25">
      <c r="C50" t="s">
        <v>71</v>
      </c>
    </row>
    <row r="51" spans="3:4" x14ac:dyDescent="0.25">
      <c r="C51" t="s">
        <v>72</v>
      </c>
    </row>
    <row r="52" spans="3:4" x14ac:dyDescent="0.25">
      <c r="C52" t="s">
        <v>73</v>
      </c>
      <c r="D52" t="s">
        <v>74</v>
      </c>
    </row>
  </sheetData>
  <mergeCells count="1">
    <mergeCell ref="B2:C2"/>
  </mergeCells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E90EE-D1B9-4556-AF07-6A49D1719BB0}">
  <sheetPr codeName="Sheet4">
    <tabColor rgb="FF00B050"/>
  </sheetPr>
  <dimension ref="B2:E27"/>
  <sheetViews>
    <sheetView workbookViewId="0">
      <selection activeCell="E1" sqref="E1:E1048576"/>
    </sheetView>
  </sheetViews>
  <sheetFormatPr defaultColWidth="9.140625" defaultRowHeight="15" x14ac:dyDescent="0.25"/>
  <cols>
    <col min="2" max="2" width="12" bestFit="1" customWidth="1"/>
    <col min="3" max="3" width="25.7109375" bestFit="1" customWidth="1"/>
    <col min="5" max="5" width="38.140625" bestFit="1" customWidth="1"/>
  </cols>
  <sheetData>
    <row r="2" spans="2:5" x14ac:dyDescent="0.25">
      <c r="B2" t="s">
        <v>198</v>
      </c>
      <c r="C2" s="17" t="s">
        <v>93</v>
      </c>
      <c r="E2" t="str">
        <f>_xlfn.CONCAT(B2," ",C2,";")</f>
        <v>DROP TABLE  parameters;</v>
      </c>
    </row>
    <row r="3" spans="2:5" x14ac:dyDescent="0.25">
      <c r="B3" t="s">
        <v>198</v>
      </c>
      <c r="C3" s="18" t="s">
        <v>139</v>
      </c>
      <c r="E3" t="str">
        <f t="shared" ref="E3:E27" si="0">_xlfn.CONCAT(B3," ",C3,";")</f>
        <v>DROP TABLE  contact_methods;</v>
      </c>
    </row>
    <row r="4" spans="2:5" x14ac:dyDescent="0.25">
      <c r="B4" t="s">
        <v>198</v>
      </c>
      <c r="C4" s="17" t="s">
        <v>147</v>
      </c>
      <c r="E4" t="str">
        <f t="shared" si="0"/>
        <v>DROP TABLE  event_types;</v>
      </c>
    </row>
    <row r="5" spans="2:5" x14ac:dyDescent="0.25">
      <c r="B5" t="s">
        <v>198</v>
      </c>
      <c r="C5" s="18" t="s">
        <v>94</v>
      </c>
      <c r="E5" t="str">
        <f t="shared" si="0"/>
        <v>DROP TABLE  teams;</v>
      </c>
    </row>
    <row r="6" spans="2:5" x14ac:dyDescent="0.25">
      <c r="B6" t="s">
        <v>198</v>
      </c>
      <c r="C6" s="17" t="s">
        <v>95</v>
      </c>
      <c r="E6" t="str">
        <f t="shared" si="0"/>
        <v>DROP TABLE  shifts;</v>
      </c>
    </row>
    <row r="7" spans="2:5" x14ac:dyDescent="0.25">
      <c r="B7" t="s">
        <v>198</v>
      </c>
      <c r="C7" s="18" t="s">
        <v>148</v>
      </c>
      <c r="E7" t="str">
        <f t="shared" si="0"/>
        <v>DROP TABLE  shift_events;</v>
      </c>
    </row>
    <row r="8" spans="2:5" x14ac:dyDescent="0.25">
      <c r="B8" t="s">
        <v>198</v>
      </c>
      <c r="C8" s="17" t="s">
        <v>96</v>
      </c>
      <c r="E8" t="str">
        <f t="shared" si="0"/>
        <v>DROP TABLE  employees;</v>
      </c>
    </row>
    <row r="9" spans="2:5" x14ac:dyDescent="0.25">
      <c r="B9" t="s">
        <v>198</v>
      </c>
      <c r="C9" s="18" t="s">
        <v>131</v>
      </c>
      <c r="E9" t="str">
        <f t="shared" si="0"/>
        <v>DROP TABLE  employee_setup;</v>
      </c>
    </row>
    <row r="10" spans="2:5" x14ac:dyDescent="0.25">
      <c r="B10" t="s">
        <v>198</v>
      </c>
      <c r="C10" s="17" t="s">
        <v>142</v>
      </c>
      <c r="E10" t="str">
        <f t="shared" si="0"/>
        <v>DROP TABLE  employee_contact_persons;</v>
      </c>
    </row>
    <row r="11" spans="2:5" x14ac:dyDescent="0.25">
      <c r="B11" t="s">
        <v>198</v>
      </c>
      <c r="C11" s="18" t="s">
        <v>141</v>
      </c>
      <c r="E11" t="str">
        <f t="shared" si="0"/>
        <v>DROP TABLE  employee_contact_methods;</v>
      </c>
    </row>
    <row r="12" spans="2:5" x14ac:dyDescent="0.25">
      <c r="B12" t="s">
        <v>198</v>
      </c>
      <c r="C12" s="17" t="s">
        <v>97</v>
      </c>
      <c r="E12" t="str">
        <f t="shared" si="0"/>
        <v>DROP TABLE  processes;</v>
      </c>
    </row>
    <row r="13" spans="2:5" x14ac:dyDescent="0.25">
      <c r="B13" t="s">
        <v>198</v>
      </c>
      <c r="C13" s="18" t="s">
        <v>98</v>
      </c>
      <c r="E13" t="str">
        <f t="shared" si="0"/>
        <v>DROP TABLE  resources;</v>
      </c>
    </row>
    <row r="14" spans="2:5" x14ac:dyDescent="0.25">
      <c r="B14" t="s">
        <v>198</v>
      </c>
      <c r="C14" s="17" t="s">
        <v>99</v>
      </c>
      <c r="E14" t="str">
        <f t="shared" si="0"/>
        <v>DROP TABLE  base_rates;</v>
      </c>
    </row>
    <row r="15" spans="2:5" x14ac:dyDescent="0.25">
      <c r="B15" t="s">
        <v>198</v>
      </c>
      <c r="C15" s="19" t="s">
        <v>100</v>
      </c>
    </row>
    <row r="16" spans="2:5" x14ac:dyDescent="0.25">
      <c r="B16" t="s">
        <v>198</v>
      </c>
      <c r="C16" s="20" t="s">
        <v>158</v>
      </c>
    </row>
    <row r="17" spans="2:5" x14ac:dyDescent="0.25">
      <c r="B17" t="s">
        <v>198</v>
      </c>
      <c r="C17" s="18" t="s">
        <v>101</v>
      </c>
      <c r="E17" t="str">
        <f t="shared" si="0"/>
        <v>DROP TABLE  product_categories;</v>
      </c>
    </row>
    <row r="18" spans="2:5" x14ac:dyDescent="0.25">
      <c r="B18" t="s">
        <v>198</v>
      </c>
      <c r="C18" s="20" t="s">
        <v>102</v>
      </c>
    </row>
    <row r="19" spans="2:5" x14ac:dyDescent="0.25">
      <c r="B19" t="s">
        <v>198</v>
      </c>
      <c r="C19" s="19" t="s">
        <v>103</v>
      </c>
    </row>
    <row r="20" spans="2:5" x14ac:dyDescent="0.25">
      <c r="B20" t="s">
        <v>198</v>
      </c>
      <c r="C20" s="17" t="s">
        <v>104</v>
      </c>
      <c r="E20" t="str">
        <f t="shared" si="0"/>
        <v>DROP TABLE  devices;</v>
      </c>
    </row>
    <row r="21" spans="2:5" x14ac:dyDescent="0.25">
      <c r="B21" t="s">
        <v>198</v>
      </c>
      <c r="C21" s="18" t="s">
        <v>105</v>
      </c>
      <c r="E21" t="str">
        <f t="shared" si="0"/>
        <v>DROP TABLE  device_locations;</v>
      </c>
    </row>
    <row r="22" spans="2:5" x14ac:dyDescent="0.25">
      <c r="B22" t="s">
        <v>198</v>
      </c>
      <c r="C22" s="17" t="s">
        <v>108</v>
      </c>
      <c r="E22" t="str">
        <f t="shared" si="0"/>
        <v>DROP TABLE  device_employees;</v>
      </c>
    </row>
    <row r="23" spans="2:5" x14ac:dyDescent="0.25">
      <c r="B23" t="s">
        <v>198</v>
      </c>
      <c r="C23" s="18" t="s">
        <v>107</v>
      </c>
      <c r="E23" t="str">
        <f t="shared" si="0"/>
        <v>DROP TABLE  device_pack;</v>
      </c>
    </row>
    <row r="24" spans="2:5" x14ac:dyDescent="0.25">
      <c r="B24" t="s">
        <v>198</v>
      </c>
      <c r="C24" s="17" t="s">
        <v>106</v>
      </c>
      <c r="E24" t="str">
        <f t="shared" si="0"/>
        <v>DROP TABLE  device_operations;</v>
      </c>
    </row>
    <row r="25" spans="2:5" x14ac:dyDescent="0.25">
      <c r="B25" t="s">
        <v>198</v>
      </c>
      <c r="C25" s="18" t="s">
        <v>109</v>
      </c>
    </row>
    <row r="26" spans="2:5" x14ac:dyDescent="0.25">
      <c r="B26" t="s">
        <v>198</v>
      </c>
      <c r="C26" s="17" t="s">
        <v>111</v>
      </c>
      <c r="E26" t="str">
        <f t="shared" si="0"/>
        <v>DROP TABLE  offstandard_categories;</v>
      </c>
    </row>
    <row r="27" spans="2:5" x14ac:dyDescent="0.25">
      <c r="B27" t="s">
        <v>198</v>
      </c>
      <c r="C27" s="18" t="s">
        <v>110</v>
      </c>
      <c r="E27" t="str">
        <f t="shared" si="0"/>
        <v>DROP TABLE  offstandards;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Migration Commands</vt:lpstr>
      <vt:lpstr>Tables</vt:lpstr>
      <vt:lpstr>Fields</vt:lpstr>
      <vt:lpstr>Attributes</vt:lpstr>
      <vt:lpstr>Lists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Sierra</dc:creator>
  <cp:keywords/>
  <dc:description/>
  <cp:lastModifiedBy>Andres Sierra</cp:lastModifiedBy>
  <cp:revision/>
  <dcterms:created xsi:type="dcterms:W3CDTF">2024-04-15T12:16:06Z</dcterms:created>
  <dcterms:modified xsi:type="dcterms:W3CDTF">2024-12-05T23:21:11Z</dcterms:modified>
  <cp:category/>
  <cp:contentStatus/>
</cp:coreProperties>
</file>